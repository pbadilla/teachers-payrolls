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0"/>
  <workbookPr filterPrivacy="1" codeName="ThisWorkbook" autoCompressPictures="0"/>
  <xr:revisionPtr revIDLastSave="0" documentId="13_ncr:1_{0E323775-AC16-4512-BC59-BE8D5E776457}" xr6:coauthVersionLast="47" xr6:coauthVersionMax="47" xr10:uidLastSave="{00000000-0000-0000-0000-000000000000}"/>
  <bookViews>
    <workbookView xWindow="-120" yWindow="-120" windowWidth="29040" windowHeight="15720" tabRatio="788" activeTab="9" xr2:uid="{00000000-000D-0000-FFFF-FFFF00000000}"/>
  </bookViews>
  <sheets>
    <sheet name="Enero" sheetId="14" r:id="rId1"/>
    <sheet name="Febrero" sheetId="15" r:id="rId2"/>
    <sheet name="Marzo" sheetId="16" r:id="rId3"/>
    <sheet name="Abril" sheetId="17" r:id="rId4"/>
    <sheet name="Mayo" sheetId="18" r:id="rId5"/>
    <sheet name="Junio" sheetId="19" r:id="rId6"/>
    <sheet name="Julio" sheetId="20" r:id="rId7"/>
    <sheet name="Agosto" sheetId="21" r:id="rId8"/>
    <sheet name="Septiembre" sheetId="22" r:id="rId9"/>
    <sheet name="Octubre" sheetId="23" r:id="rId10"/>
    <sheet name="Noviembre" sheetId="24" r:id="rId11"/>
    <sheet name="Diciembre" sheetId="25" r:id="rId12"/>
    <sheet name="Enero (2)" sheetId="35" state="hidden" r:id="rId13"/>
    <sheet name="Mayo (2)" sheetId="39" state="hidden" r:id="rId14"/>
    <sheet name="Febrero (2)" sheetId="36" state="hidden" r:id="rId15"/>
    <sheet name="Marzo (2)" sheetId="37" state="hidden" r:id="rId16"/>
    <sheet name="Abril (2)" sheetId="38" state="hidden" r:id="rId17"/>
    <sheet name="Junio (2)" sheetId="40" state="hidden" r:id="rId18"/>
    <sheet name="Septiembre (2)" sheetId="43" state="hidden" r:id="rId19"/>
    <sheet name="Octubre (2)" sheetId="44" state="hidden" r:id="rId20"/>
    <sheet name="Noviembre (2)" sheetId="45" state="hidden" r:id="rId21"/>
  </sheets>
  <definedNames>
    <definedName name="Acalendario">'Enero (2)'!$K$3</definedName>
    <definedName name="AñoCalendario">Enero!$K$3</definedName>
    <definedName name="_xlnm.Print_Area" localSheetId="0">Enero!$A$1:$H$18</definedName>
    <definedName name="_xlnm.Print_Area" localSheetId="12">'Enero (2)'!$A$1:$H$18</definedName>
    <definedName name="ColumnTitleRegion1..H12.1">Enero!$B$2</definedName>
    <definedName name="ColumnTitleRegion1..H12.10">Octubre!$B$2</definedName>
    <definedName name="ColumnTitleRegion1..H12.11">Noviembre!$B$2</definedName>
    <definedName name="ColumnTitleRegion1..H12.12">Diciembre!$B$2</definedName>
    <definedName name="ColumnTitleRegion1..H12.2">Febrero!$B$2</definedName>
    <definedName name="ColumnTitleRegion1..H12.3">Marzo!$B$2</definedName>
    <definedName name="ColumnTitleRegion1..H12.4">Abril!$B$2</definedName>
    <definedName name="ColumnTitleRegion1..H12.5">Mayo!$B$2</definedName>
    <definedName name="ColumnTitleRegion1..H12.6">Junio!$B$2</definedName>
    <definedName name="ColumnTitleRegion1..H12.7">Julio!$B$2</definedName>
    <definedName name="ColumnTitleRegion1..H12.8">Agosto!$B$2</definedName>
    <definedName name="ColumnTitleRegion1..H12.9">Septiembre!$B$2</definedName>
    <definedName name="ColumnTitleRegion2..C14.1">Enero!$B$2</definedName>
    <definedName name="ColumnTitleRegion2..C14.10">Octubre!$B$2</definedName>
    <definedName name="ColumnTitleRegion2..C14.11">Noviembre!$B$2</definedName>
    <definedName name="ColumnTitleRegion2..C14.12">Diciembre!$B$2</definedName>
    <definedName name="ColumnTitleRegion2..C14.2">Febrero!$B$2</definedName>
    <definedName name="ColumnTitleRegion2..C14.3">Marzo!$B$2</definedName>
    <definedName name="ColumnTitleRegion2..C14.4">Abril!$B$2</definedName>
    <definedName name="ColumnTitleRegion2..C14.5">Mayo!$B$2</definedName>
    <definedName name="ColumnTitleRegion2..C14.6">Junio!$B$2</definedName>
    <definedName name="ColumnTitleRegion2..C14.7">Julio!$B$2</definedName>
    <definedName name="ColumnTitleRegion2..C14.8">Agosto!$B$2</definedName>
    <definedName name="ColumnTitleRegion2..C14.9">Septiembre!$B$2</definedName>
    <definedName name="DaysAndWeeks">{0,1,2,3,4,5,6} + {0;1;2;3;4;5}*7</definedName>
    <definedName name="InicioDeSemana">Enero!$K$4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50" i="23" l="1"/>
  <c r="F50" i="23" s="1"/>
  <c r="E49" i="23"/>
  <c r="F49" i="23" s="1"/>
  <c r="E51" i="22"/>
  <c r="F51" i="22" s="1"/>
  <c r="H35" i="20"/>
  <c r="E53" i="20"/>
  <c r="E50" i="18"/>
  <c r="F43" i="18"/>
  <c r="E44" i="18"/>
  <c r="E34" i="18"/>
  <c r="F34" i="18" s="1"/>
  <c r="G59" i="14"/>
  <c r="F59" i="14"/>
  <c r="J42" i="15"/>
  <c r="G28" i="24"/>
  <c r="J63" i="24"/>
  <c r="F53" i="20" l="1"/>
  <c r="G59" i="25"/>
  <c r="I59" i="23"/>
  <c r="F43" i="17" l="1"/>
  <c r="F44" i="17"/>
  <c r="B6" i="24" a="1"/>
  <c r="B6" i="24" s="1"/>
  <c r="B9" i="24" a="1"/>
  <c r="B9" i="24" s="1"/>
  <c r="B12" i="24" a="1"/>
  <c r="B12" i="24" s="1"/>
  <c r="B15" i="24" a="1"/>
  <c r="B15" i="24" s="1"/>
  <c r="B18" i="24" a="1"/>
  <c r="B18" i="24" s="1"/>
  <c r="C18" i="24" l="1"/>
  <c r="H9" i="24"/>
  <c r="E6" i="24"/>
  <c r="E9" i="24"/>
  <c r="H6" i="24"/>
  <c r="H15" i="24"/>
  <c r="E15" i="24"/>
  <c r="H12" i="24"/>
  <c r="E12" i="24"/>
  <c r="D15" i="24"/>
  <c r="D6" i="24"/>
  <c r="D9" i="24"/>
  <c r="C6" i="24"/>
  <c r="D12" i="24"/>
  <c r="G15" i="24"/>
  <c r="C15" i="24"/>
  <c r="G12" i="24"/>
  <c r="C12" i="24"/>
  <c r="G9" i="24"/>
  <c r="C9" i="24"/>
  <c r="G6" i="24"/>
  <c r="F15" i="24"/>
  <c r="F12" i="24"/>
  <c r="F9" i="24"/>
  <c r="F6" i="24"/>
  <c r="B6" i="25" a="1"/>
  <c r="B6" i="25" s="1"/>
  <c r="B9" i="25" a="1"/>
  <c r="B9" i="25" s="1"/>
  <c r="B12" i="25" a="1"/>
  <c r="B12" i="25" s="1"/>
  <c r="H40" i="40"/>
  <c r="H30" i="40"/>
  <c r="H33" i="39"/>
  <c r="H41" i="38"/>
  <c r="H45" i="39"/>
  <c r="H29" i="38"/>
  <c r="H45" i="37"/>
  <c r="H33" i="37"/>
  <c r="B18" i="45" a="1"/>
  <c r="B18" i="45" s="1"/>
  <c r="B15" i="45" a="1"/>
  <c r="F15" i="45" s="1"/>
  <c r="B12" i="45" a="1"/>
  <c r="F12" i="45" s="1"/>
  <c r="B9" i="45" a="1"/>
  <c r="F9" i="45" s="1"/>
  <c r="B6" i="45" a="1"/>
  <c r="F6" i="45" s="1"/>
  <c r="B3" i="45" a="1"/>
  <c r="F3" i="45" s="1"/>
  <c r="F2" i="45" s="1"/>
  <c r="B2" i="45"/>
  <c r="B1" i="45"/>
  <c r="B18" i="44" a="1"/>
  <c r="B18" i="44" s="1"/>
  <c r="B15" i="44" a="1"/>
  <c r="E15" i="44" s="1"/>
  <c r="B12" i="44" a="1"/>
  <c r="E12" i="44" s="1"/>
  <c r="B9" i="44" a="1"/>
  <c r="E9" i="44" s="1"/>
  <c r="B6" i="44" a="1"/>
  <c r="E6" i="44" s="1"/>
  <c r="B3" i="44" a="1"/>
  <c r="E3" i="44" s="1"/>
  <c r="E2" i="44" s="1"/>
  <c r="B2" i="44"/>
  <c r="B1" i="44"/>
  <c r="B15" i="43" a="1"/>
  <c r="B12" i="43" a="1"/>
  <c r="E12" i="43" s="1"/>
  <c r="B9" i="43" a="1"/>
  <c r="B7" i="43" a="1"/>
  <c r="E7" i="43" s="1"/>
  <c r="B5" i="43" a="1"/>
  <c r="B3" i="43" a="1"/>
  <c r="E3" i="43" s="1"/>
  <c r="E2" i="43" s="1"/>
  <c r="B2" i="43"/>
  <c r="B1" i="43"/>
  <c r="B16" i="40" a="1"/>
  <c r="B16" i="40" s="1"/>
  <c r="B14" i="40" a="1"/>
  <c r="E14" i="40" s="1"/>
  <c r="B11" i="40" a="1"/>
  <c r="E11" i="40" s="1"/>
  <c r="B8" i="40" a="1"/>
  <c r="E8" i="40" s="1"/>
  <c r="B5" i="40" a="1"/>
  <c r="E5" i="40" s="1"/>
  <c r="B3" i="40" a="1"/>
  <c r="E3" i="40" s="1"/>
  <c r="E2" i="40" s="1"/>
  <c r="B2" i="40"/>
  <c r="B1" i="40"/>
  <c r="B18" i="39" a="1"/>
  <c r="C18" i="39" s="1"/>
  <c r="B15" i="39" a="1"/>
  <c r="B15" i="39" s="1"/>
  <c r="B12" i="39" a="1"/>
  <c r="B9" i="39" a="1"/>
  <c r="B9" i="39" s="1"/>
  <c r="B6" i="39" a="1"/>
  <c r="C6" i="39" s="1"/>
  <c r="B3" i="39" a="1"/>
  <c r="B3" i="39" s="1"/>
  <c r="B2" i="39"/>
  <c r="B1" i="39"/>
  <c r="B15" i="38" a="1"/>
  <c r="H15" i="38" s="1"/>
  <c r="B12" i="38" a="1"/>
  <c r="H12" i="38" s="1"/>
  <c r="B9" i="38" a="1"/>
  <c r="H9" i="38" s="1"/>
  <c r="B6" i="38" a="1"/>
  <c r="H6" i="38" s="1"/>
  <c r="B3" i="38" a="1"/>
  <c r="H3" i="38" s="1"/>
  <c r="H2" i="38" s="1"/>
  <c r="B2" i="38"/>
  <c r="B1" i="38"/>
  <c r="B18" i="37" a="1"/>
  <c r="B18" i="37" s="1"/>
  <c r="B15" i="37" a="1"/>
  <c r="F15" i="37" s="1"/>
  <c r="B12" i="37" a="1"/>
  <c r="G12" i="37" s="1"/>
  <c r="B9" i="37" a="1"/>
  <c r="G9" i="37" s="1"/>
  <c r="B6" i="37" a="1"/>
  <c r="G6" i="37" s="1"/>
  <c r="B3" i="37" a="1"/>
  <c r="G3" i="37" s="1"/>
  <c r="G2" i="37" s="1"/>
  <c r="B2" i="37"/>
  <c r="B1" i="37"/>
  <c r="B19" i="36" a="1"/>
  <c r="C19" i="36" s="1"/>
  <c r="B16" i="36" a="1"/>
  <c r="E16" i="36" s="1"/>
  <c r="B13" i="36" a="1"/>
  <c r="F13" i="36" s="1"/>
  <c r="B10" i="36" a="1"/>
  <c r="F10" i="36" s="1"/>
  <c r="B7" i="36" a="1"/>
  <c r="F7" i="36" s="1"/>
  <c r="B3" i="36" a="1"/>
  <c r="F3" i="36" s="1"/>
  <c r="F2" i="36" s="1"/>
  <c r="B2" i="36"/>
  <c r="B1" i="36"/>
  <c r="B17" i="35" a="1"/>
  <c r="C17" i="35" s="1"/>
  <c r="B14" i="35" a="1"/>
  <c r="E14" i="35" s="1"/>
  <c r="B11" i="35" a="1"/>
  <c r="E11" i="35" s="1"/>
  <c r="B8" i="35" a="1"/>
  <c r="E8" i="35" s="1"/>
  <c r="B5" i="35" a="1"/>
  <c r="E5" i="35" s="1"/>
  <c r="B3" i="35" a="1"/>
  <c r="E3" i="35" s="1"/>
  <c r="E2" i="35" s="1"/>
  <c r="B2" i="35"/>
  <c r="B1" i="35"/>
  <c r="F58" i="24" l="1"/>
  <c r="G58" i="24" s="1"/>
  <c r="F32" i="24"/>
  <c r="G32" i="24" s="1"/>
  <c r="F55" i="24"/>
  <c r="G55" i="24" s="1"/>
  <c r="F30" i="24"/>
  <c r="F29" i="24"/>
  <c r="G29" i="24" s="1"/>
  <c r="E12" i="25"/>
  <c r="H12" i="25"/>
  <c r="H6" i="25"/>
  <c r="H9" i="25"/>
  <c r="E6" i="25"/>
  <c r="E9" i="25"/>
  <c r="D6" i="25"/>
  <c r="D12" i="25"/>
  <c r="D9" i="25"/>
  <c r="G12" i="25"/>
  <c r="C12" i="25"/>
  <c r="G9" i="25"/>
  <c r="C9" i="25"/>
  <c r="G6" i="25"/>
  <c r="C6" i="25"/>
  <c r="F12" i="25"/>
  <c r="F9" i="25"/>
  <c r="F6" i="25"/>
  <c r="C3" i="44"/>
  <c r="C2" i="44" s="1"/>
  <c r="E15" i="39"/>
  <c r="G7" i="36"/>
  <c r="G15" i="45"/>
  <c r="D3" i="36"/>
  <c r="D2" i="36" s="1"/>
  <c r="H15" i="44"/>
  <c r="G3" i="36"/>
  <c r="G2" i="36" s="1"/>
  <c r="C16" i="40"/>
  <c r="C9" i="45"/>
  <c r="D6" i="45"/>
  <c r="C14" i="35"/>
  <c r="C3" i="39"/>
  <c r="C2" i="39" s="1"/>
  <c r="C8" i="40"/>
  <c r="D11" i="40"/>
  <c r="D3" i="44"/>
  <c r="D2" i="44" s="1"/>
  <c r="D9" i="45"/>
  <c r="F8" i="35"/>
  <c r="B5" i="35"/>
  <c r="D8" i="40"/>
  <c r="H3" i="44"/>
  <c r="H2" i="44" s="1"/>
  <c r="D14" i="35"/>
  <c r="F5" i="35"/>
  <c r="D11" i="35"/>
  <c r="H14" i="35"/>
  <c r="D7" i="36"/>
  <c r="G13" i="36"/>
  <c r="H8" i="40"/>
  <c r="B3" i="44"/>
  <c r="B15" i="44"/>
  <c r="H9" i="37"/>
  <c r="G5" i="40"/>
  <c r="H11" i="35"/>
  <c r="C16" i="36"/>
  <c r="D6" i="37"/>
  <c r="E3" i="39"/>
  <c r="E2" i="39" s="1"/>
  <c r="C6" i="44"/>
  <c r="D9" i="44"/>
  <c r="C15" i="44"/>
  <c r="G6" i="45"/>
  <c r="H16" i="36"/>
  <c r="G11" i="35"/>
  <c r="B11" i="35"/>
  <c r="B5" i="40"/>
  <c r="H5" i="40"/>
  <c r="C8" i="35"/>
  <c r="C11" i="35"/>
  <c r="C7" i="36"/>
  <c r="D16" i="36"/>
  <c r="H6" i="37"/>
  <c r="C15" i="39"/>
  <c r="C5" i="40"/>
  <c r="G3" i="44"/>
  <c r="G2" i="44" s="1"/>
  <c r="D6" i="44"/>
  <c r="D15" i="44"/>
  <c r="C18" i="44"/>
  <c r="G3" i="45"/>
  <c r="G2" i="45" s="1"/>
  <c r="D5" i="40"/>
  <c r="H6" i="44"/>
  <c r="G15" i="44"/>
  <c r="F3" i="40"/>
  <c r="F2" i="40" s="1"/>
  <c r="C10" i="36"/>
  <c r="F3" i="35"/>
  <c r="F2" i="35" s="1"/>
  <c r="F14" i="35"/>
  <c r="B17" i="35"/>
  <c r="H3" i="36"/>
  <c r="H2" i="36" s="1"/>
  <c r="D10" i="36"/>
  <c r="C13" i="36"/>
  <c r="F16" i="36"/>
  <c r="B19" i="36"/>
  <c r="H3" i="37"/>
  <c r="H2" i="37" s="1"/>
  <c r="D12" i="37"/>
  <c r="D15" i="37"/>
  <c r="C18" i="37"/>
  <c r="G3" i="39"/>
  <c r="G2" i="39" s="1"/>
  <c r="C9" i="39"/>
  <c r="G15" i="39"/>
  <c r="C3" i="40"/>
  <c r="C2" i="40" s="1"/>
  <c r="H3" i="40"/>
  <c r="H2" i="40" s="1"/>
  <c r="F8" i="40"/>
  <c r="B11" i="40"/>
  <c r="G11" i="40"/>
  <c r="C14" i="40"/>
  <c r="H14" i="40"/>
  <c r="F9" i="44"/>
  <c r="B12" i="44"/>
  <c r="G12" i="44"/>
  <c r="H3" i="45"/>
  <c r="H2" i="45" s="1"/>
  <c r="C12" i="45"/>
  <c r="H15" i="45"/>
  <c r="H10" i="36"/>
  <c r="H15" i="37"/>
  <c r="B3" i="35"/>
  <c r="G8" i="35"/>
  <c r="B8" i="35"/>
  <c r="F11" i="35"/>
  <c r="B14" i="35"/>
  <c r="G14" i="35"/>
  <c r="C3" i="36"/>
  <c r="C2" i="36" s="1"/>
  <c r="H7" i="36"/>
  <c r="G10" i="36"/>
  <c r="D13" i="36"/>
  <c r="B16" i="36"/>
  <c r="G16" i="36"/>
  <c r="D9" i="37"/>
  <c r="H12" i="37"/>
  <c r="G15" i="37"/>
  <c r="E9" i="39"/>
  <c r="D3" i="40"/>
  <c r="D2" i="40" s="1"/>
  <c r="F5" i="40"/>
  <c r="B8" i="40"/>
  <c r="G8" i="40"/>
  <c r="C11" i="40"/>
  <c r="H11" i="40"/>
  <c r="D14" i="40"/>
  <c r="F6" i="44"/>
  <c r="B9" i="44"/>
  <c r="G9" i="44"/>
  <c r="C12" i="44"/>
  <c r="H12" i="44"/>
  <c r="C3" i="45"/>
  <c r="C2" i="45" s="1"/>
  <c r="H6" i="45"/>
  <c r="G9" i="45"/>
  <c r="D12" i="45"/>
  <c r="C15" i="45"/>
  <c r="F3" i="44"/>
  <c r="F2" i="44" s="1"/>
  <c r="B6" i="44"/>
  <c r="G6" i="44"/>
  <c r="C9" i="44"/>
  <c r="H9" i="44"/>
  <c r="D12" i="44"/>
  <c r="F15" i="44"/>
  <c r="D3" i="45"/>
  <c r="D2" i="45" s="1"/>
  <c r="C6" i="45"/>
  <c r="H9" i="45"/>
  <c r="G12" i="45"/>
  <c r="D15" i="45"/>
  <c r="C18" i="45"/>
  <c r="G9" i="39"/>
  <c r="F14" i="40"/>
  <c r="H13" i="36"/>
  <c r="D3" i="37"/>
  <c r="D2" i="37" s="1"/>
  <c r="C15" i="37"/>
  <c r="B3" i="40"/>
  <c r="G3" i="40"/>
  <c r="G2" i="40" s="1"/>
  <c r="F11" i="40"/>
  <c r="B14" i="40"/>
  <c r="G14" i="40"/>
  <c r="F12" i="44"/>
  <c r="H12" i="45"/>
  <c r="E9" i="38"/>
  <c r="H12" i="39"/>
  <c r="D12" i="39"/>
  <c r="E3" i="37"/>
  <c r="E2" i="37" s="1"/>
  <c r="E6" i="37"/>
  <c r="E9" i="37"/>
  <c r="E12" i="37"/>
  <c r="E15" i="37"/>
  <c r="B3" i="38"/>
  <c r="F3" i="38"/>
  <c r="F2" i="38" s="1"/>
  <c r="B6" i="38"/>
  <c r="F6" i="38"/>
  <c r="B9" i="38"/>
  <c r="F9" i="38"/>
  <c r="B12" i="38"/>
  <c r="F12" i="38"/>
  <c r="B15" i="38"/>
  <c r="F15" i="38"/>
  <c r="B6" i="39"/>
  <c r="G6" i="39"/>
  <c r="B12" i="39"/>
  <c r="G12" i="39"/>
  <c r="B18" i="39"/>
  <c r="H5" i="43"/>
  <c r="D5" i="43"/>
  <c r="G5" i="43"/>
  <c r="C5" i="43"/>
  <c r="F5" i="43"/>
  <c r="B5" i="43"/>
  <c r="H9" i="43"/>
  <c r="D9" i="43"/>
  <c r="G9" i="43"/>
  <c r="C9" i="43"/>
  <c r="F9" i="43"/>
  <c r="B9" i="43"/>
  <c r="C15" i="43"/>
  <c r="B15" i="43"/>
  <c r="E6" i="38"/>
  <c r="C3" i="35"/>
  <c r="C2" i="35" s="1"/>
  <c r="G3" i="35"/>
  <c r="G2" i="35" s="1"/>
  <c r="C5" i="35"/>
  <c r="G5" i="35"/>
  <c r="D3" i="35"/>
  <c r="D2" i="35" s="1"/>
  <c r="H3" i="35"/>
  <c r="H2" i="35" s="1"/>
  <c r="D5" i="35"/>
  <c r="H5" i="35"/>
  <c r="D8" i="35"/>
  <c r="H8" i="35"/>
  <c r="E3" i="36"/>
  <c r="E2" i="36" s="1"/>
  <c r="E7" i="36"/>
  <c r="E10" i="36"/>
  <c r="E13" i="36"/>
  <c r="B3" i="37"/>
  <c r="F3" i="37"/>
  <c r="F2" i="37" s="1"/>
  <c r="B6" i="37"/>
  <c r="F6" i="37"/>
  <c r="B9" i="37"/>
  <c r="F9" i="37"/>
  <c r="B12" i="37"/>
  <c r="F12" i="37"/>
  <c r="B15" i="37"/>
  <c r="C3" i="38"/>
  <c r="C2" i="38" s="1"/>
  <c r="G3" i="38"/>
  <c r="G2" i="38" s="1"/>
  <c r="C6" i="38"/>
  <c r="G6" i="38"/>
  <c r="C9" i="38"/>
  <c r="G9" i="38"/>
  <c r="C12" i="38"/>
  <c r="G12" i="38"/>
  <c r="C15" i="38"/>
  <c r="G15" i="38"/>
  <c r="H3" i="39"/>
  <c r="H2" i="39" s="1"/>
  <c r="D3" i="39"/>
  <c r="D2" i="39" s="1"/>
  <c r="F3" i="39"/>
  <c r="F2" i="39" s="1"/>
  <c r="H9" i="39"/>
  <c r="D9" i="39"/>
  <c r="F9" i="39"/>
  <c r="C12" i="39"/>
  <c r="H15" i="39"/>
  <c r="D15" i="39"/>
  <c r="F15" i="39"/>
  <c r="E5" i="43"/>
  <c r="E9" i="43"/>
  <c r="E3" i="38"/>
  <c r="E2" i="38" s="1"/>
  <c r="E12" i="38"/>
  <c r="E15" i="38"/>
  <c r="H6" i="39"/>
  <c r="D6" i="39"/>
  <c r="F6" i="39"/>
  <c r="F12" i="39"/>
  <c r="B3" i="36"/>
  <c r="B7" i="36"/>
  <c r="B10" i="36"/>
  <c r="B13" i="36"/>
  <c r="C3" i="37"/>
  <c r="C2" i="37" s="1"/>
  <c r="C6" i="37"/>
  <c r="C9" i="37"/>
  <c r="C12" i="37"/>
  <c r="D3" i="38"/>
  <c r="D2" i="38" s="1"/>
  <c r="D6" i="38"/>
  <c r="D9" i="38"/>
  <c r="D12" i="38"/>
  <c r="D15" i="38"/>
  <c r="E6" i="39"/>
  <c r="E12" i="39"/>
  <c r="H3" i="43"/>
  <c r="H2" i="43" s="1"/>
  <c r="D3" i="43"/>
  <c r="D2" i="43" s="1"/>
  <c r="G3" i="43"/>
  <c r="G2" i="43" s="1"/>
  <c r="C3" i="43"/>
  <c r="C2" i="43" s="1"/>
  <c r="F3" i="43"/>
  <c r="F2" i="43" s="1"/>
  <c r="B3" i="43"/>
  <c r="H7" i="43"/>
  <c r="D7" i="43"/>
  <c r="G7" i="43"/>
  <c r="C7" i="43"/>
  <c r="F7" i="43"/>
  <c r="B7" i="43"/>
  <c r="H12" i="43"/>
  <c r="D12" i="43"/>
  <c r="G12" i="43"/>
  <c r="C12" i="43"/>
  <c r="F12" i="43"/>
  <c r="B12" i="43"/>
  <c r="E3" i="45"/>
  <c r="E2" i="45" s="1"/>
  <c r="E6" i="45"/>
  <c r="E9" i="45"/>
  <c r="E12" i="45"/>
  <c r="E15" i="45"/>
  <c r="B3" i="45"/>
  <c r="B6" i="45"/>
  <c r="B9" i="45"/>
  <c r="B12" i="45"/>
  <c r="B15" i="45"/>
  <c r="F32" i="43" l="1"/>
  <c r="G32" i="43" s="1"/>
  <c r="G36" i="36"/>
  <c r="H36" i="36" s="1"/>
  <c r="G34" i="37"/>
  <c r="H34" i="37" s="1"/>
  <c r="G40" i="39"/>
  <c r="H40" i="39" s="1"/>
  <c r="F27" i="35"/>
  <c r="G36" i="40"/>
  <c r="H36" i="40" s="1"/>
  <c r="G40" i="37"/>
  <c r="H40" i="37" s="1"/>
  <c r="G45" i="37"/>
  <c r="G28" i="37"/>
  <c r="G31" i="36"/>
  <c r="F29" i="43"/>
  <c r="G29" i="43" s="1"/>
  <c r="G33" i="37"/>
  <c r="G33" i="38"/>
  <c r="H33" i="38" s="1"/>
  <c r="G27" i="38"/>
  <c r="H27" i="38" s="1"/>
  <c r="G36" i="38"/>
  <c r="H36" i="38" s="1"/>
  <c r="G40" i="40"/>
  <c r="F45" i="45"/>
  <c r="G45" i="45" s="1"/>
  <c r="G32" i="38"/>
  <c r="F43" i="45"/>
  <c r="G43" i="45" s="1"/>
  <c r="F29" i="35"/>
  <c r="G29" i="35" s="1"/>
  <c r="F31" i="35"/>
  <c r="G31" i="35" s="1"/>
  <c r="F31" i="45"/>
  <c r="G31" i="45" s="1"/>
  <c r="F39" i="45"/>
  <c r="G39" i="45" s="1"/>
  <c r="F36" i="45"/>
  <c r="G36" i="45" s="1"/>
  <c r="F32" i="45"/>
  <c r="G32" i="45" s="1"/>
  <c r="F44" i="45"/>
  <c r="G44" i="45" s="1"/>
  <c r="F37" i="45"/>
  <c r="G37" i="45" s="1"/>
  <c r="F33" i="45"/>
  <c r="G38" i="45"/>
  <c r="F35" i="45"/>
  <c r="G35" i="45" s="1"/>
  <c r="F34" i="45"/>
  <c r="F40" i="45"/>
  <c r="G40" i="45" s="1"/>
  <c r="F42" i="45"/>
  <c r="G42" i="45" s="1"/>
  <c r="F41" i="45"/>
  <c r="G41" i="45" s="1"/>
  <c r="F30" i="45"/>
  <c r="F34" i="44"/>
  <c r="G34" i="44" s="1"/>
  <c r="F41" i="44"/>
  <c r="G41" i="44" s="1"/>
  <c r="F37" i="44"/>
  <c r="G37" i="44" s="1"/>
  <c r="F42" i="44"/>
  <c r="G42" i="44" s="1"/>
  <c r="F43" i="44"/>
  <c r="G43" i="44" s="1"/>
  <c r="F44" i="44"/>
  <c r="G44" i="44" s="1"/>
  <c r="F31" i="44"/>
  <c r="F29" i="44"/>
  <c r="G29" i="44" s="1"/>
  <c r="F39" i="44"/>
  <c r="G39" i="44" s="1"/>
  <c r="F40" i="44"/>
  <c r="G40" i="44" s="1"/>
  <c r="F46" i="44"/>
  <c r="F45" i="44"/>
  <c r="F32" i="44"/>
  <c r="F30" i="44"/>
  <c r="G30" i="44" s="1"/>
  <c r="F35" i="44"/>
  <c r="G35" i="44" s="1"/>
  <c r="F38" i="44"/>
  <c r="G38" i="44" s="1"/>
  <c r="F36" i="44"/>
  <c r="G36" i="44" s="1"/>
  <c r="F33" i="44"/>
  <c r="G33" i="44" s="1"/>
  <c r="F33" i="43"/>
  <c r="G33" i="43" s="1"/>
  <c r="F31" i="43"/>
  <c r="G31" i="43" s="1"/>
  <c r="F30" i="43"/>
  <c r="G30" i="43" s="1"/>
  <c r="F35" i="43"/>
  <c r="F26" i="43"/>
  <c r="G26" i="43" s="1"/>
  <c r="F24" i="43"/>
  <c r="F25" i="43"/>
  <c r="G25" i="43" s="1"/>
  <c r="F27" i="43"/>
  <c r="G27" i="43" s="1"/>
  <c r="F28" i="43"/>
  <c r="F34" i="43"/>
  <c r="G34" i="43" s="1"/>
  <c r="F28" i="44"/>
  <c r="G32" i="40"/>
  <c r="H32" i="40" s="1"/>
  <c r="G35" i="40"/>
  <c r="H35" i="40" s="1"/>
  <c r="G29" i="40"/>
  <c r="H29" i="40" s="1"/>
  <c r="G34" i="40"/>
  <c r="H34" i="40" s="1"/>
  <c r="G28" i="40"/>
  <c r="H28" i="40" s="1"/>
  <c r="G26" i="40"/>
  <c r="H26" i="40" s="1"/>
  <c r="G37" i="40"/>
  <c r="G31" i="40"/>
  <c r="H31" i="40" s="1"/>
  <c r="G38" i="40"/>
  <c r="H38" i="40" s="1"/>
  <c r="G33" i="40"/>
  <c r="H33" i="40" s="1"/>
  <c r="G27" i="40"/>
  <c r="H27" i="40" s="1"/>
  <c r="G39" i="40"/>
  <c r="G30" i="40"/>
  <c r="G45" i="39"/>
  <c r="G32" i="39"/>
  <c r="H32" i="39" s="1"/>
  <c r="G31" i="39"/>
  <c r="H31" i="39" s="1"/>
  <c r="G30" i="39"/>
  <c r="H30" i="39" s="1"/>
  <c r="G33" i="39"/>
  <c r="G43" i="39"/>
  <c r="H43" i="39" s="1"/>
  <c r="H42" i="39"/>
  <c r="G29" i="39"/>
  <c r="H29" i="39" s="1"/>
  <c r="G39" i="39"/>
  <c r="H39" i="39" s="1"/>
  <c r="G38" i="39"/>
  <c r="H38" i="39" s="1"/>
  <c r="G41" i="39"/>
  <c r="H41" i="39" s="1"/>
  <c r="G36" i="39"/>
  <c r="H36" i="39" s="1"/>
  <c r="G35" i="39"/>
  <c r="H35" i="39" s="1"/>
  <c r="G34" i="39"/>
  <c r="H34" i="39" s="1"/>
  <c r="G37" i="39"/>
  <c r="H37" i="39" s="1"/>
  <c r="G37" i="38"/>
  <c r="G41" i="38"/>
  <c r="G39" i="38"/>
  <c r="G38" i="38"/>
  <c r="G25" i="38"/>
  <c r="H25" i="38" s="1"/>
  <c r="H32" i="38"/>
  <c r="G26" i="38"/>
  <c r="H26" i="38" s="1"/>
  <c r="G28" i="38"/>
  <c r="H28" i="38" s="1"/>
  <c r="G29" i="38"/>
  <c r="G34" i="38"/>
  <c r="H34" i="38" s="1"/>
  <c r="G31" i="38"/>
  <c r="H31" i="38" s="1"/>
  <c r="G35" i="38"/>
  <c r="H35" i="38" s="1"/>
  <c r="G30" i="38"/>
  <c r="H30" i="38" s="1"/>
  <c r="G39" i="37"/>
  <c r="H39" i="37" s="1"/>
  <c r="G32" i="37"/>
  <c r="H32" i="37" s="1"/>
  <c r="G36" i="37"/>
  <c r="H36" i="37" s="1"/>
  <c r="G35" i="37"/>
  <c r="H35" i="37" s="1"/>
  <c r="G31" i="37"/>
  <c r="H31" i="37" s="1"/>
  <c r="G30" i="37"/>
  <c r="H30" i="37" s="1"/>
  <c r="G29" i="37"/>
  <c r="H29" i="37" s="1"/>
  <c r="G37" i="37"/>
  <c r="H37" i="37" s="1"/>
  <c r="G38" i="37"/>
  <c r="H38" i="37" s="1"/>
  <c r="G41" i="37"/>
  <c r="H41" i="37" s="1"/>
  <c r="G43" i="37"/>
  <c r="H43" i="37" s="1"/>
  <c r="G42" i="37"/>
  <c r="H42" i="37" s="1"/>
  <c r="G46" i="36"/>
  <c r="H46" i="36" s="1"/>
  <c r="F42" i="35"/>
  <c r="G42" i="35" s="1"/>
  <c r="F38" i="35"/>
  <c r="G38" i="35" s="1"/>
  <c r="F34" i="35"/>
  <c r="G34" i="35" s="1"/>
  <c r="F30" i="35"/>
  <c r="G30" i="35" s="1"/>
  <c r="F41" i="35"/>
  <c r="G41" i="35" s="1"/>
  <c r="F37" i="35"/>
  <c r="G37" i="35" s="1"/>
  <c r="F33" i="35"/>
  <c r="G33" i="35" s="1"/>
  <c r="F28" i="35"/>
  <c r="G28" i="35" s="1"/>
  <c r="F44" i="35"/>
  <c r="G44" i="35" s="1"/>
  <c r="F40" i="35"/>
  <c r="G40" i="35" s="1"/>
  <c r="F36" i="35"/>
  <c r="G36" i="35" s="1"/>
  <c r="F32" i="35"/>
  <c r="G32" i="35" s="1"/>
  <c r="F43" i="35"/>
  <c r="F39" i="35"/>
  <c r="G39" i="35" s="1"/>
  <c r="F35" i="35"/>
  <c r="G35" i="35" s="1"/>
  <c r="G44" i="36"/>
  <c r="H44" i="36" s="1"/>
  <c r="G41" i="36"/>
  <c r="H41" i="36" s="1"/>
  <c r="G37" i="36"/>
  <c r="H37" i="36" s="1"/>
  <c r="G33" i="36"/>
  <c r="H33" i="36" s="1"/>
  <c r="G48" i="36"/>
  <c r="H48" i="36" s="1"/>
  <c r="G43" i="36"/>
  <c r="H43" i="36" s="1"/>
  <c r="G40" i="36"/>
  <c r="H40" i="36" s="1"/>
  <c r="G32" i="36"/>
  <c r="H32" i="36" s="1"/>
  <c r="G42" i="36"/>
  <c r="H42" i="36" s="1"/>
  <c r="G39" i="36"/>
  <c r="H39" i="36" s="1"/>
  <c r="G35" i="36"/>
  <c r="H35" i="36" s="1"/>
  <c r="G45" i="36"/>
  <c r="H45" i="36" s="1"/>
  <c r="G38" i="36"/>
  <c r="H38" i="36" s="1"/>
  <c r="G34" i="36"/>
  <c r="H34" i="36" s="1"/>
  <c r="B1" i="14"/>
  <c r="F47" i="45" l="1"/>
  <c r="G30" i="45"/>
  <c r="G47" i="45" s="1"/>
  <c r="F38" i="43"/>
  <c r="G24" i="43"/>
  <c r="G38" i="43" s="1"/>
  <c r="G28" i="44"/>
  <c r="H37" i="40"/>
  <c r="H41" i="40" s="1"/>
  <c r="G41" i="40"/>
  <c r="G44" i="39"/>
  <c r="G46" i="39" s="1"/>
  <c r="H46" i="39"/>
  <c r="G40" i="38"/>
  <c r="H38" i="38"/>
  <c r="H39" i="38"/>
  <c r="H37" i="38"/>
  <c r="G46" i="37"/>
  <c r="H28" i="37"/>
  <c r="H46" i="37" s="1"/>
  <c r="G49" i="36"/>
  <c r="H31" i="36"/>
  <c r="H49" i="36" s="1"/>
  <c r="G27" i="35"/>
  <c r="G45" i="35" s="1"/>
  <c r="F45" i="35"/>
  <c r="B17" i="14" a="1"/>
  <c r="C17" i="14" s="1"/>
  <c r="B14" i="14" a="1"/>
  <c r="G14" i="14" s="1"/>
  <c r="B11" i="14" a="1"/>
  <c r="G11" i="14" s="1"/>
  <c r="B8" i="14" a="1"/>
  <c r="G8" i="14" s="1"/>
  <c r="B5" i="14" a="1"/>
  <c r="G5" i="14" s="1"/>
  <c r="B3" i="14" a="1"/>
  <c r="G3" i="14" s="1"/>
  <c r="B2" i="14"/>
  <c r="B17" i="15" a="1"/>
  <c r="C17" i="15" s="1"/>
  <c r="B14" i="15" a="1"/>
  <c r="G14" i="15" s="1"/>
  <c r="B11" i="15" a="1"/>
  <c r="G11" i="15" s="1"/>
  <c r="B8" i="15" a="1"/>
  <c r="G8" i="15" s="1"/>
  <c r="B5" i="15" a="1"/>
  <c r="G5" i="15" s="1"/>
  <c r="B3" i="15" a="1"/>
  <c r="G3" i="15" s="1"/>
  <c r="B2" i="15"/>
  <c r="B17" i="16" a="1"/>
  <c r="C17" i="16" s="1"/>
  <c r="B14" i="16" a="1"/>
  <c r="G14" i="16" s="1"/>
  <c r="B11" i="16" a="1"/>
  <c r="G11" i="16" s="1"/>
  <c r="B8" i="16" a="1"/>
  <c r="G8" i="16" s="1"/>
  <c r="B5" i="16" a="1"/>
  <c r="G5" i="16" s="1"/>
  <c r="B3" i="16" a="1"/>
  <c r="G3" i="16" s="1"/>
  <c r="B2" i="16"/>
  <c r="B18" i="17" a="1"/>
  <c r="C18" i="17" s="1"/>
  <c r="B15" i="17" a="1"/>
  <c r="G15" i="17" s="1"/>
  <c r="B12" i="17" a="1"/>
  <c r="G12" i="17" s="1"/>
  <c r="B9" i="17" a="1"/>
  <c r="G9" i="17" s="1"/>
  <c r="B6" i="17" a="1"/>
  <c r="G6" i="17" s="1"/>
  <c r="B3" i="17" a="1"/>
  <c r="G3" i="17" s="1"/>
  <c r="B2" i="17"/>
  <c r="B18" i="18" a="1"/>
  <c r="C18" i="18" s="1"/>
  <c r="B15" i="18" a="1"/>
  <c r="G15" i="18" s="1"/>
  <c r="B12" i="18" a="1"/>
  <c r="G12" i="18" s="1"/>
  <c r="B9" i="18" a="1"/>
  <c r="G9" i="18" s="1"/>
  <c r="B6" i="18" a="1"/>
  <c r="G6" i="18" s="1"/>
  <c r="B3" i="18" a="1"/>
  <c r="G3" i="18" s="1"/>
  <c r="B2" i="18"/>
  <c r="B17" i="19" a="1"/>
  <c r="C17" i="19" s="1"/>
  <c r="B15" i="19" a="1"/>
  <c r="G15" i="19" s="1"/>
  <c r="B12" i="19" a="1"/>
  <c r="G12" i="19" s="1"/>
  <c r="B9" i="19" a="1"/>
  <c r="H9" i="19" s="1"/>
  <c r="B6" i="19" a="1"/>
  <c r="H6" i="19" s="1"/>
  <c r="B3" i="19" a="1"/>
  <c r="H3" i="19" s="1"/>
  <c r="B2" i="19"/>
  <c r="B13" i="20" a="1"/>
  <c r="B13" i="20" s="1"/>
  <c r="B11" i="20" a="1"/>
  <c r="H11" i="20" s="1"/>
  <c r="B9" i="20" a="1"/>
  <c r="H9" i="20" s="1"/>
  <c r="B7" i="20" a="1"/>
  <c r="H7" i="20" s="1"/>
  <c r="B5" i="20" a="1"/>
  <c r="H5" i="20" s="1"/>
  <c r="B3" i="20" a="1"/>
  <c r="H3" i="20" s="1"/>
  <c r="B2" i="20"/>
  <c r="B13" i="21" a="1"/>
  <c r="B13" i="21" s="1"/>
  <c r="B11" i="21" a="1"/>
  <c r="H11" i="21" s="1"/>
  <c r="B9" i="21" a="1"/>
  <c r="B7" i="21" a="1"/>
  <c r="B5" i="21" a="1"/>
  <c r="B3" i="21" a="1"/>
  <c r="B2" i="21"/>
  <c r="B15" i="22" a="1"/>
  <c r="G15" i="22" s="1"/>
  <c r="B12" i="22" a="1"/>
  <c r="C12" i="22" s="1"/>
  <c r="B9" i="22" a="1"/>
  <c r="G9" i="22" s="1"/>
  <c r="B6" i="22" a="1"/>
  <c r="G6" i="22" s="1"/>
  <c r="B3" i="22" a="1"/>
  <c r="G3" i="22" s="1"/>
  <c r="B2" i="22"/>
  <c r="B18" i="23" a="1"/>
  <c r="B18" i="23" s="1"/>
  <c r="B15" i="23" a="1"/>
  <c r="G15" i="23" s="1"/>
  <c r="B12" i="23" a="1"/>
  <c r="B9" i="23" a="1"/>
  <c r="B6" i="23" a="1"/>
  <c r="B3" i="23" a="1"/>
  <c r="B2" i="23"/>
  <c r="B3" i="24" a="1"/>
  <c r="G3" i="24" s="1"/>
  <c r="B2" i="24"/>
  <c r="B18" i="25" a="1"/>
  <c r="B18" i="25" s="1"/>
  <c r="B15" i="25" a="1"/>
  <c r="G15" i="25" s="1"/>
  <c r="B3" i="25" a="1"/>
  <c r="B2" i="25"/>
  <c r="B1" i="15"/>
  <c r="B1" i="16"/>
  <c r="B1" i="17"/>
  <c r="B1" i="18"/>
  <c r="B1" i="19"/>
  <c r="B1" i="20"/>
  <c r="B1" i="21"/>
  <c r="B1" i="22"/>
  <c r="B1" i="23"/>
  <c r="B1" i="24"/>
  <c r="B1" i="25"/>
  <c r="F8" i="15" l="1"/>
  <c r="D9" i="17"/>
  <c r="H42" i="38"/>
  <c r="G42" i="38"/>
  <c r="F9" i="18"/>
  <c r="B9" i="17"/>
  <c r="D8" i="15"/>
  <c r="F5" i="14"/>
  <c r="F5" i="16"/>
  <c r="F6" i="18"/>
  <c r="F9" i="17"/>
  <c r="F8" i="14"/>
  <c r="F8" i="16"/>
  <c r="B8" i="15"/>
  <c r="F14" i="15"/>
  <c r="F3" i="14"/>
  <c r="G12" i="22"/>
  <c r="B9" i="18"/>
  <c r="F6" i="17"/>
  <c r="B8" i="16"/>
  <c r="F5" i="15"/>
  <c r="B8" i="14"/>
  <c r="F15" i="19"/>
  <c r="F3" i="18"/>
  <c r="D6" i="17"/>
  <c r="F15" i="17"/>
  <c r="F3" i="16"/>
  <c r="D5" i="15"/>
  <c r="C15" i="25"/>
  <c r="D6" i="18"/>
  <c r="D9" i="18"/>
  <c r="F15" i="18"/>
  <c r="F3" i="17"/>
  <c r="D5" i="16"/>
  <c r="D8" i="16"/>
  <c r="F14" i="16"/>
  <c r="F3" i="15"/>
  <c r="D5" i="14"/>
  <c r="D8" i="14"/>
  <c r="F14" i="14"/>
  <c r="H12" i="18"/>
  <c r="H12" i="17"/>
  <c r="H11" i="16"/>
  <c r="H11" i="15"/>
  <c r="H11" i="14"/>
  <c r="H3" i="18"/>
  <c r="B12" i="18"/>
  <c r="H15" i="18"/>
  <c r="H3" i="17"/>
  <c r="H2" i="17" s="1"/>
  <c r="B12" i="17"/>
  <c r="H15" i="17"/>
  <c r="H3" i="16"/>
  <c r="H2" i="16" s="1"/>
  <c r="B11" i="16"/>
  <c r="H14" i="16"/>
  <c r="H3" i="15"/>
  <c r="H2" i="15" s="1"/>
  <c r="B11" i="15"/>
  <c r="G45" i="15" s="1"/>
  <c r="H14" i="15"/>
  <c r="H3" i="14"/>
  <c r="B11" i="14"/>
  <c r="H14" i="14"/>
  <c r="C18" i="23"/>
  <c r="C15" i="23"/>
  <c r="C15" i="22"/>
  <c r="B15" i="19"/>
  <c r="B3" i="18"/>
  <c r="H6" i="18"/>
  <c r="D12" i="18"/>
  <c r="B15" i="18"/>
  <c r="B3" i="17"/>
  <c r="H6" i="17"/>
  <c r="D12" i="17"/>
  <c r="B15" i="17"/>
  <c r="B3" i="16"/>
  <c r="I43" i="16" s="1"/>
  <c r="H5" i="16"/>
  <c r="D11" i="16"/>
  <c r="B14" i="16"/>
  <c r="B3" i="15"/>
  <c r="H5" i="15"/>
  <c r="D11" i="15"/>
  <c r="B14" i="15"/>
  <c r="B3" i="14"/>
  <c r="F29" i="14" s="1"/>
  <c r="H5" i="14"/>
  <c r="D11" i="14"/>
  <c r="B14" i="14"/>
  <c r="H15" i="19"/>
  <c r="C18" i="25"/>
  <c r="D15" i="19"/>
  <c r="B17" i="19"/>
  <c r="D3" i="18"/>
  <c r="B6" i="18"/>
  <c r="H9" i="18"/>
  <c r="F12" i="18"/>
  <c r="D15" i="18"/>
  <c r="B18" i="18"/>
  <c r="D3" i="17"/>
  <c r="B6" i="17"/>
  <c r="H9" i="17"/>
  <c r="F12" i="17"/>
  <c r="D15" i="17"/>
  <c r="B18" i="17"/>
  <c r="D3" i="16"/>
  <c r="B5" i="16"/>
  <c r="H8" i="16"/>
  <c r="F11" i="16"/>
  <c r="D14" i="16"/>
  <c r="B17" i="16"/>
  <c r="D3" i="15"/>
  <c r="B5" i="15"/>
  <c r="H8" i="15"/>
  <c r="F11" i="15"/>
  <c r="D14" i="15"/>
  <c r="B17" i="15"/>
  <c r="D3" i="14"/>
  <c r="B5" i="14"/>
  <c r="H8" i="14"/>
  <c r="F11" i="14"/>
  <c r="D14" i="14"/>
  <c r="B17" i="14"/>
  <c r="H3" i="25"/>
  <c r="F3" i="25"/>
  <c r="D3" i="25"/>
  <c r="B3" i="25"/>
  <c r="E3" i="25"/>
  <c r="H15" i="25"/>
  <c r="F15" i="25"/>
  <c r="D15" i="25"/>
  <c r="B15" i="25"/>
  <c r="E15" i="25"/>
  <c r="C3" i="24"/>
  <c r="H3" i="23"/>
  <c r="F3" i="23"/>
  <c r="D3" i="23"/>
  <c r="B3" i="23"/>
  <c r="E3" i="23"/>
  <c r="H6" i="23"/>
  <c r="F6" i="23"/>
  <c r="D6" i="23"/>
  <c r="B6" i="23"/>
  <c r="E6" i="23"/>
  <c r="H9" i="23"/>
  <c r="F9" i="23"/>
  <c r="D9" i="23"/>
  <c r="B9" i="23"/>
  <c r="E9" i="23"/>
  <c r="H12" i="23"/>
  <c r="F12" i="23"/>
  <c r="D12" i="23"/>
  <c r="B12" i="23"/>
  <c r="E12" i="23"/>
  <c r="H15" i="23"/>
  <c r="F15" i="23"/>
  <c r="D15" i="23"/>
  <c r="B15" i="23"/>
  <c r="E15" i="23"/>
  <c r="C3" i="22"/>
  <c r="C6" i="22"/>
  <c r="C9" i="22"/>
  <c r="H3" i="21"/>
  <c r="F3" i="21"/>
  <c r="D3" i="21"/>
  <c r="B3" i="21"/>
  <c r="E3" i="21"/>
  <c r="H5" i="21"/>
  <c r="F5" i="21"/>
  <c r="D5" i="21"/>
  <c r="B5" i="21"/>
  <c r="E5" i="21"/>
  <c r="H7" i="21"/>
  <c r="F7" i="21"/>
  <c r="D7" i="21"/>
  <c r="B7" i="21"/>
  <c r="E7" i="21"/>
  <c r="H9" i="21"/>
  <c r="F9" i="21"/>
  <c r="D9" i="21"/>
  <c r="B9" i="21"/>
  <c r="G9" i="21"/>
  <c r="E9" i="21"/>
  <c r="C3" i="25"/>
  <c r="G3" i="25"/>
  <c r="G2" i="25" s="1"/>
  <c r="H3" i="24"/>
  <c r="F3" i="24"/>
  <c r="D3" i="24"/>
  <c r="B3" i="24"/>
  <c r="E3" i="24"/>
  <c r="C3" i="23"/>
  <c r="G3" i="23"/>
  <c r="G2" i="23" s="1"/>
  <c r="C6" i="23"/>
  <c r="G6" i="23"/>
  <c r="C9" i="23"/>
  <c r="G9" i="23"/>
  <c r="C12" i="23"/>
  <c r="G12" i="23"/>
  <c r="H3" i="22"/>
  <c r="H2" i="22" s="1"/>
  <c r="F3" i="22"/>
  <c r="D3" i="22"/>
  <c r="B3" i="22"/>
  <c r="E3" i="22"/>
  <c r="H6" i="22"/>
  <c r="F6" i="22"/>
  <c r="D6" i="22"/>
  <c r="B6" i="22"/>
  <c r="E6" i="22"/>
  <c r="H9" i="22"/>
  <c r="F9" i="22"/>
  <c r="D9" i="22"/>
  <c r="B9" i="22"/>
  <c r="E9" i="22"/>
  <c r="H12" i="22"/>
  <c r="F12" i="22"/>
  <c r="D12" i="22"/>
  <c r="B12" i="22"/>
  <c r="E12" i="22"/>
  <c r="H15" i="22"/>
  <c r="F15" i="22"/>
  <c r="D15" i="22"/>
  <c r="B15" i="22"/>
  <c r="E15" i="22"/>
  <c r="C3" i="21"/>
  <c r="G3" i="21"/>
  <c r="G2" i="21" s="1"/>
  <c r="C5" i="21"/>
  <c r="G5" i="21"/>
  <c r="C7" i="21"/>
  <c r="G7" i="21"/>
  <c r="C9" i="21"/>
  <c r="C3" i="20"/>
  <c r="E3" i="20"/>
  <c r="E2" i="20" s="1"/>
  <c r="G3" i="20"/>
  <c r="G5" i="20"/>
  <c r="C11" i="21"/>
  <c r="E11" i="21"/>
  <c r="G11" i="21"/>
  <c r="C13" i="21"/>
  <c r="C5" i="20"/>
  <c r="E5" i="20"/>
  <c r="C7" i="20"/>
  <c r="E7" i="20"/>
  <c r="G7" i="20"/>
  <c r="C9" i="20"/>
  <c r="E9" i="20"/>
  <c r="G9" i="20"/>
  <c r="C11" i="20"/>
  <c r="E11" i="20"/>
  <c r="G11" i="20"/>
  <c r="C13" i="20"/>
  <c r="C3" i="19"/>
  <c r="E3" i="19"/>
  <c r="G3" i="19"/>
  <c r="C6" i="19"/>
  <c r="E6" i="19"/>
  <c r="G6" i="19"/>
  <c r="C9" i="19"/>
  <c r="E9" i="19"/>
  <c r="G9" i="19"/>
  <c r="C12" i="19"/>
  <c r="E12" i="19"/>
  <c r="H12" i="19"/>
  <c r="B11" i="21"/>
  <c r="D11" i="21"/>
  <c r="F11" i="21"/>
  <c r="B3" i="20"/>
  <c r="D3" i="20"/>
  <c r="F3" i="20"/>
  <c r="B5" i="20"/>
  <c r="D5" i="20"/>
  <c r="F5" i="20"/>
  <c r="B7" i="20"/>
  <c r="D7" i="20"/>
  <c r="F7" i="20"/>
  <c r="B9" i="20"/>
  <c r="D9" i="20"/>
  <c r="F9" i="20"/>
  <c r="B11" i="20"/>
  <c r="D11" i="20"/>
  <c r="F11" i="20"/>
  <c r="B3" i="19"/>
  <c r="D3" i="19"/>
  <c r="F3" i="19"/>
  <c r="B6" i="19"/>
  <c r="D6" i="19"/>
  <c r="F6" i="19"/>
  <c r="B9" i="19"/>
  <c r="D9" i="19"/>
  <c r="F9" i="19"/>
  <c r="B12" i="19"/>
  <c r="D12" i="19"/>
  <c r="F12" i="19"/>
  <c r="C15" i="19"/>
  <c r="E15" i="19"/>
  <c r="C3" i="18"/>
  <c r="E3" i="18"/>
  <c r="C6" i="18"/>
  <c r="E6" i="18"/>
  <c r="C9" i="18"/>
  <c r="E9" i="18"/>
  <c r="C12" i="18"/>
  <c r="E12" i="18"/>
  <c r="C15" i="18"/>
  <c r="E15" i="18"/>
  <c r="C3" i="17"/>
  <c r="E3" i="17"/>
  <c r="C6" i="17"/>
  <c r="E6" i="17"/>
  <c r="C9" i="17"/>
  <c r="E9" i="17"/>
  <c r="C12" i="17"/>
  <c r="E12" i="17"/>
  <c r="C15" i="17"/>
  <c r="E15" i="17"/>
  <c r="C3" i="16"/>
  <c r="E3" i="16"/>
  <c r="C5" i="16"/>
  <c r="E5" i="16"/>
  <c r="C8" i="16"/>
  <c r="E8" i="16"/>
  <c r="C11" i="16"/>
  <c r="E11" i="16"/>
  <c r="C14" i="16"/>
  <c r="E14" i="16"/>
  <c r="C3" i="15"/>
  <c r="E3" i="15"/>
  <c r="C5" i="15"/>
  <c r="E5" i="15"/>
  <c r="C8" i="15"/>
  <c r="E8" i="15"/>
  <c r="C11" i="15"/>
  <c r="E11" i="15"/>
  <c r="C14" i="15"/>
  <c r="E14" i="15"/>
  <c r="C3" i="14"/>
  <c r="E3" i="14"/>
  <c r="C5" i="14"/>
  <c r="E5" i="14"/>
  <c r="C8" i="14"/>
  <c r="E8" i="14"/>
  <c r="C11" i="14"/>
  <c r="E11" i="14"/>
  <c r="C14" i="14"/>
  <c r="E14" i="14"/>
  <c r="G2" i="24"/>
  <c r="H2" i="19"/>
  <c r="G2" i="18"/>
  <c r="E52" i="23" l="1"/>
  <c r="F52" i="23" s="1"/>
  <c r="E31" i="23"/>
  <c r="F31" i="23" s="1"/>
  <c r="E29" i="23"/>
  <c r="F29" i="23" s="1"/>
  <c r="E30" i="23"/>
  <c r="F30" i="23" s="1"/>
  <c r="E28" i="23"/>
  <c r="E28" i="22"/>
  <c r="F28" i="22" s="1"/>
  <c r="E29" i="22"/>
  <c r="F29" i="22" s="1"/>
  <c r="E31" i="22"/>
  <c r="F31" i="22" s="1"/>
  <c r="E24" i="18"/>
  <c r="E53" i="18"/>
  <c r="G37" i="15"/>
  <c r="G43" i="15"/>
  <c r="G36" i="15"/>
  <c r="G38" i="15"/>
  <c r="G44" i="15"/>
  <c r="E47" i="17"/>
  <c r="E42" i="17"/>
  <c r="F42" i="17" s="1"/>
  <c r="E41" i="17"/>
  <c r="F41" i="17" s="1"/>
  <c r="E40" i="17"/>
  <c r="F40" i="17" s="1"/>
  <c r="E38" i="17"/>
  <c r="F38" i="17" s="1"/>
  <c r="E51" i="17"/>
  <c r="F51" i="17" s="1"/>
  <c r="E34" i="17"/>
  <c r="F34" i="17" s="1"/>
  <c r="E57" i="17"/>
  <c r="F57" i="17" s="1"/>
  <c r="E50" i="17"/>
  <c r="F50" i="17" s="1"/>
  <c r="E37" i="17"/>
  <c r="F37" i="17" s="1"/>
  <c r="E36" i="17"/>
  <c r="F36" i="17" s="1"/>
  <c r="E35" i="17"/>
  <c r="F35" i="17" s="1"/>
  <c r="E31" i="17"/>
  <c r="F31" i="17" s="1"/>
  <c r="E30" i="17"/>
  <c r="E46" i="17"/>
  <c r="F46" i="17" s="1"/>
  <c r="E58" i="17"/>
  <c r="F58" i="17" s="1"/>
  <c r="E33" i="17"/>
  <c r="F33" i="17" s="1"/>
  <c r="E39" i="17"/>
  <c r="F39" i="17" s="1"/>
  <c r="E28" i="17"/>
  <c r="E32" i="17"/>
  <c r="F32" i="17" s="1"/>
  <c r="E29" i="17"/>
  <c r="E56" i="17"/>
  <c r="F56" i="17" s="1"/>
  <c r="E45" i="17"/>
  <c r="F45" i="17" s="1"/>
  <c r="E55" i="17"/>
  <c r="F55" i="17" s="1"/>
  <c r="E53" i="17"/>
  <c r="F53" i="17" s="1"/>
  <c r="E52" i="17"/>
  <c r="F52" i="17" s="1"/>
  <c r="E49" i="17"/>
  <c r="F49" i="17" s="1"/>
  <c r="G52" i="15"/>
  <c r="G56" i="15"/>
  <c r="G54" i="15"/>
  <c r="G57" i="15"/>
  <c r="G33" i="15"/>
  <c r="G32" i="15"/>
  <c r="G31" i="15"/>
  <c r="G30" i="15"/>
  <c r="G29" i="15"/>
  <c r="G59" i="15"/>
  <c r="H59" i="15" s="1"/>
  <c r="G55" i="15"/>
  <c r="G53" i="15"/>
  <c r="G51" i="15"/>
  <c r="G58" i="15"/>
  <c r="G39" i="15"/>
  <c r="H39" i="15" s="1"/>
  <c r="G46" i="15"/>
  <c r="G50" i="15"/>
  <c r="F50" i="18"/>
  <c r="E49" i="18"/>
  <c r="F49" i="18" s="1"/>
  <c r="E47" i="18"/>
  <c r="F47" i="18" s="1"/>
  <c r="E46" i="18"/>
  <c r="F46" i="18" s="1"/>
  <c r="E45" i="18"/>
  <c r="F45" i="18" s="1"/>
  <c r="F44" i="18"/>
  <c r="E42" i="18"/>
  <c r="E41" i="18"/>
  <c r="F41" i="18" s="1"/>
  <c r="E48" i="18"/>
  <c r="F48" i="18" s="1"/>
  <c r="E40" i="18"/>
  <c r="F40" i="18" s="1"/>
  <c r="E37" i="18"/>
  <c r="F37" i="18" s="1"/>
  <c r="E35" i="18"/>
  <c r="F35" i="18" s="1"/>
  <c r="E33" i="18"/>
  <c r="F33" i="18" s="1"/>
  <c r="E32" i="18"/>
  <c r="F32" i="18" s="1"/>
  <c r="E31" i="18"/>
  <c r="F31" i="18" s="1"/>
  <c r="E30" i="18"/>
  <c r="F30" i="18" s="1"/>
  <c r="E29" i="18"/>
  <c r="F29" i="18" s="1"/>
  <c r="E27" i="18"/>
  <c r="F27" i="18" s="1"/>
  <c r="E26" i="18"/>
  <c r="F26" i="18" s="1"/>
  <c r="E36" i="18"/>
  <c r="F36" i="18" s="1"/>
  <c r="E43" i="18"/>
  <c r="E38" i="18"/>
  <c r="F38" i="18" s="1"/>
  <c r="E39" i="18"/>
  <c r="F39" i="18" s="1"/>
  <c r="E28" i="18"/>
  <c r="F28" i="18" s="1"/>
  <c r="F24" i="18"/>
  <c r="E23" i="18"/>
  <c r="E25" i="18"/>
  <c r="E52" i="18"/>
  <c r="F52" i="18" s="1"/>
  <c r="E51" i="18"/>
  <c r="F51" i="18" s="1"/>
  <c r="G40" i="15"/>
  <c r="G35" i="15"/>
  <c r="G42" i="15"/>
  <c r="G34" i="15"/>
  <c r="G41" i="15"/>
  <c r="I41" i="16"/>
  <c r="I38" i="16"/>
  <c r="I37" i="16"/>
  <c r="I34" i="16"/>
  <c r="I32" i="16"/>
  <c r="I35" i="16"/>
  <c r="J35" i="16" s="1"/>
  <c r="I33" i="16"/>
  <c r="J33" i="16" s="1"/>
  <c r="I31" i="16"/>
  <c r="I55" i="16"/>
  <c r="J55" i="16" s="1"/>
  <c r="I56" i="16"/>
  <c r="J56" i="16" s="1"/>
  <c r="I53" i="16"/>
  <c r="J53" i="16" s="1"/>
  <c r="I50" i="16"/>
  <c r="I49" i="16"/>
  <c r="I47" i="16"/>
  <c r="I52" i="16"/>
  <c r="I51" i="16"/>
  <c r="I48" i="16"/>
  <c r="I44" i="16"/>
  <c r="J44" i="16" s="1"/>
  <c r="J43" i="16"/>
  <c r="I42" i="16"/>
  <c r="J42" i="16" s="1"/>
  <c r="J41" i="16"/>
  <c r="I40" i="16"/>
  <c r="J40" i="16" s="1"/>
  <c r="I39" i="16"/>
  <c r="J39" i="16" s="1"/>
  <c r="J38" i="16"/>
  <c r="J37" i="16"/>
  <c r="J36" i="16"/>
  <c r="J34" i="16"/>
  <c r="J32" i="16"/>
  <c r="J51" i="16"/>
  <c r="J50" i="16"/>
  <c r="J49" i="16"/>
  <c r="J48" i="16"/>
  <c r="J47" i="16"/>
  <c r="F57" i="14"/>
  <c r="G57" i="14" s="1"/>
  <c r="F58" i="14"/>
  <c r="G58" i="14" s="1"/>
  <c r="F32" i="14"/>
  <c r="G32" i="14" s="1"/>
  <c r="G29" i="14"/>
  <c r="F31" i="14"/>
  <c r="G31" i="14" s="1"/>
  <c r="F35" i="14"/>
  <c r="G35" i="14" s="1"/>
  <c r="F28" i="14"/>
  <c r="F33" i="14"/>
  <c r="G33" i="14" s="1"/>
  <c r="F34" i="14"/>
  <c r="G34" i="14" s="1"/>
  <c r="F30" i="14"/>
  <c r="F33" i="25"/>
  <c r="G33" i="25" s="1"/>
  <c r="F31" i="25"/>
  <c r="F29" i="25"/>
  <c r="G29" i="25" s="1"/>
  <c r="F35" i="25"/>
  <c r="G35" i="25" s="1"/>
  <c r="F34" i="25"/>
  <c r="G34" i="25" s="1"/>
  <c r="F36" i="25"/>
  <c r="G36" i="25" s="1"/>
  <c r="F30" i="25"/>
  <c r="G30" i="25" s="1"/>
  <c r="F32" i="25"/>
  <c r="G32" i="25" s="1"/>
  <c r="F55" i="25"/>
  <c r="G55" i="25" s="1"/>
  <c r="F46" i="25"/>
  <c r="G46" i="25" s="1"/>
  <c r="F58" i="25"/>
  <c r="G58" i="25" s="1"/>
  <c r="F54" i="25"/>
  <c r="G54" i="25" s="1"/>
  <c r="F52" i="25"/>
  <c r="F49" i="25"/>
  <c r="G49" i="25" s="1"/>
  <c r="F38" i="25"/>
  <c r="G38" i="25" s="1"/>
  <c r="F53" i="25"/>
  <c r="G53" i="25" s="1"/>
  <c r="F44" i="25"/>
  <c r="G44" i="25" s="1"/>
  <c r="F57" i="25"/>
  <c r="G57" i="25" s="1"/>
  <c r="F48" i="25"/>
  <c r="G48" i="25" s="1"/>
  <c r="F51" i="25"/>
  <c r="F43" i="25"/>
  <c r="G43" i="25" s="1"/>
  <c r="F40" i="25"/>
  <c r="G40" i="25" s="1"/>
  <c r="F37" i="25"/>
  <c r="G37" i="25" s="1"/>
  <c r="F56" i="25"/>
  <c r="G56" i="25" s="1"/>
  <c r="F47" i="25"/>
  <c r="G47" i="25" s="1"/>
  <c r="F50" i="25"/>
  <c r="G50" i="25" s="1"/>
  <c r="F45" i="25"/>
  <c r="G45" i="25" s="1"/>
  <c r="F42" i="25"/>
  <c r="G42" i="25" s="1"/>
  <c r="F39" i="25"/>
  <c r="G39" i="25" s="1"/>
  <c r="F41" i="25"/>
  <c r="G41" i="25" s="1"/>
  <c r="F53" i="24"/>
  <c r="G53" i="24" s="1"/>
  <c r="F28" i="24"/>
  <c r="F54" i="24"/>
  <c r="G54" i="24" s="1"/>
  <c r="F57" i="24"/>
  <c r="G57" i="24" s="1"/>
  <c r="F56" i="24"/>
  <c r="G56" i="24" s="1"/>
  <c r="F31" i="24"/>
  <c r="G31" i="24" s="1"/>
  <c r="E30" i="22"/>
  <c r="E53" i="22"/>
  <c r="F53" i="22" s="1"/>
  <c r="F2" i="18"/>
  <c r="D2" i="18"/>
  <c r="H2" i="18"/>
  <c r="D2" i="25"/>
  <c r="F2" i="25"/>
  <c r="H2" i="25"/>
  <c r="C2" i="25"/>
  <c r="E2" i="25"/>
  <c r="D2" i="24"/>
  <c r="F2" i="24"/>
  <c r="H2" i="24"/>
  <c r="C2" i="24"/>
  <c r="E2" i="24"/>
  <c r="D2" i="23"/>
  <c r="F2" i="23"/>
  <c r="H2" i="23"/>
  <c r="C2" i="23"/>
  <c r="E2" i="23"/>
  <c r="C2" i="22"/>
  <c r="E2" i="22"/>
  <c r="G2" i="22"/>
  <c r="D2" i="22"/>
  <c r="F2" i="22"/>
  <c r="D2" i="21"/>
  <c r="F2" i="21"/>
  <c r="H2" i="21"/>
  <c r="C2" i="21"/>
  <c r="E2" i="21"/>
  <c r="C2" i="20"/>
  <c r="G2" i="20"/>
  <c r="D2" i="20"/>
  <c r="F2" i="20"/>
  <c r="H2" i="20"/>
  <c r="C2" i="19"/>
  <c r="E2" i="19"/>
  <c r="G2" i="19"/>
  <c r="D2" i="19"/>
  <c r="F2" i="19"/>
  <c r="C2" i="18"/>
  <c r="E2" i="18"/>
  <c r="C2" i="17"/>
  <c r="E2" i="17"/>
  <c r="G2" i="17"/>
  <c r="D2" i="17"/>
  <c r="F2" i="17"/>
  <c r="C2" i="16"/>
  <c r="E2" i="16"/>
  <c r="G2" i="16"/>
  <c r="D2" i="16"/>
  <c r="F2" i="16"/>
  <c r="C2" i="15"/>
  <c r="E2" i="15"/>
  <c r="G2" i="15"/>
  <c r="D2" i="15"/>
  <c r="F2" i="15"/>
  <c r="E48" i="23" l="1"/>
  <c r="F48" i="23" s="1"/>
  <c r="E49" i="22"/>
  <c r="F49" i="22" s="1"/>
  <c r="E48" i="22"/>
  <c r="F48" i="22" s="1"/>
  <c r="E43" i="23"/>
  <c r="F43" i="23" s="1"/>
  <c r="E45" i="23"/>
  <c r="E46" i="23"/>
  <c r="F46" i="23" s="1"/>
  <c r="E44" i="23"/>
  <c r="E39" i="23"/>
  <c r="F39" i="23" s="1"/>
  <c r="E37" i="23"/>
  <c r="F37" i="23" s="1"/>
  <c r="E42" i="23"/>
  <c r="F42" i="23" s="1"/>
  <c r="E41" i="23"/>
  <c r="F41" i="23" s="1"/>
  <c r="E40" i="23"/>
  <c r="F40" i="23" s="1"/>
  <c r="E35" i="23"/>
  <c r="F35" i="23" s="1"/>
  <c r="E38" i="23"/>
  <c r="F38" i="23" s="1"/>
  <c r="E33" i="23"/>
  <c r="F33" i="23" s="1"/>
  <c r="E36" i="23"/>
  <c r="F36" i="23" s="1"/>
  <c r="E32" i="23"/>
  <c r="F32" i="23" s="1"/>
  <c r="E51" i="23"/>
  <c r="F51" i="23" s="1"/>
  <c r="E34" i="23"/>
  <c r="E47" i="23"/>
  <c r="F47" i="23" s="1"/>
  <c r="F28" i="23"/>
  <c r="E47" i="22"/>
  <c r="F47" i="22" s="1"/>
  <c r="E40" i="22"/>
  <c r="F40" i="22" s="1"/>
  <c r="E52" i="22"/>
  <c r="F52" i="22" s="1"/>
  <c r="E36" i="22"/>
  <c r="F36" i="22" s="1"/>
  <c r="E34" i="22"/>
  <c r="F34" i="22" s="1"/>
  <c r="E33" i="22"/>
  <c r="F33" i="22" s="1"/>
  <c r="E39" i="22"/>
  <c r="F39" i="22" s="1"/>
  <c r="E50" i="22"/>
  <c r="F50" i="22" s="1"/>
  <c r="F35" i="19"/>
  <c r="G35" i="19" s="1"/>
  <c r="F40" i="19"/>
  <c r="G40" i="19" s="1"/>
  <c r="F51" i="19"/>
  <c r="G51" i="19" s="1"/>
  <c r="F57" i="19"/>
  <c r="G57" i="19" s="1"/>
  <c r="F38" i="19"/>
  <c r="G38" i="19" s="1"/>
  <c r="F47" i="19"/>
  <c r="F32" i="19"/>
  <c r="F31" i="19"/>
  <c r="G31" i="19" s="1"/>
  <c r="F34" i="19"/>
  <c r="F29" i="19"/>
  <c r="G29" i="19" s="1"/>
  <c r="F41" i="19"/>
  <c r="G41" i="19" s="1"/>
  <c r="F44" i="19"/>
  <c r="F62" i="19"/>
  <c r="F55" i="19"/>
  <c r="G55" i="19" s="1"/>
  <c r="F52" i="19"/>
  <c r="G52" i="19" s="1"/>
  <c r="F36" i="19"/>
  <c r="F43" i="19"/>
  <c r="F50" i="19"/>
  <c r="G50" i="19" s="1"/>
  <c r="F33" i="19"/>
  <c r="F39" i="19"/>
  <c r="F45" i="19"/>
  <c r="F28" i="19"/>
  <c r="G28" i="19" s="1"/>
  <c r="F48" i="19"/>
  <c r="F46" i="19"/>
  <c r="G46" i="19" s="1"/>
  <c r="F26" i="19"/>
  <c r="G26" i="19" s="1"/>
  <c r="F30" i="19"/>
  <c r="G30" i="19" s="1"/>
  <c r="F27" i="19"/>
  <c r="F42" i="19"/>
  <c r="G42" i="19" s="1"/>
  <c r="F25" i="19"/>
  <c r="F37" i="19"/>
  <c r="G37" i="19" s="1"/>
  <c r="F29" i="17"/>
  <c r="F55" i="18"/>
  <c r="E55" i="18"/>
  <c r="I54" i="16"/>
  <c r="J54" i="16" s="1"/>
  <c r="I29" i="16"/>
  <c r="I28" i="16"/>
  <c r="I30" i="16"/>
  <c r="J30" i="16" s="1"/>
  <c r="J29" i="16"/>
  <c r="I27" i="16"/>
  <c r="J27" i="16" s="1"/>
  <c r="J31" i="16"/>
  <c r="I26" i="16"/>
  <c r="F47" i="24"/>
  <c r="G47" i="24" s="1"/>
  <c r="F61" i="25"/>
  <c r="G61" i="25"/>
  <c r="F41" i="24"/>
  <c r="F39" i="24"/>
  <c r="G39" i="24" s="1"/>
  <c r="F46" i="24"/>
  <c r="G46" i="24" s="1"/>
  <c r="F45" i="24"/>
  <c r="G45" i="24" s="1"/>
  <c r="F49" i="24"/>
  <c r="G49" i="24" s="1"/>
  <c r="F52" i="24"/>
  <c r="G52" i="24" s="1"/>
  <c r="F33" i="24"/>
  <c r="G33" i="24" s="1"/>
  <c r="F40" i="24"/>
  <c r="G40" i="24" s="1"/>
  <c r="F51" i="24"/>
  <c r="F50" i="24"/>
  <c r="F35" i="24"/>
  <c r="G35" i="24" s="1"/>
  <c r="F38" i="24"/>
  <c r="G38" i="24" s="1"/>
  <c r="F44" i="24"/>
  <c r="G44" i="24" s="1"/>
  <c r="F43" i="24"/>
  <c r="G43" i="24" s="1"/>
  <c r="F42" i="24"/>
  <c r="G42" i="24" s="1"/>
  <c r="F48" i="24"/>
  <c r="G48" i="24" s="1"/>
  <c r="F34" i="24"/>
  <c r="G34" i="24" s="1"/>
  <c r="F37" i="24"/>
  <c r="G37" i="24" s="1"/>
  <c r="F36" i="24"/>
  <c r="G36" i="24" s="1"/>
  <c r="E35" i="22"/>
  <c r="F35" i="22" s="1"/>
  <c r="E32" i="22"/>
  <c r="F32" i="22" s="1"/>
  <c r="E44" i="22"/>
  <c r="E38" i="22"/>
  <c r="F38" i="22" s="1"/>
  <c r="E46" i="22"/>
  <c r="F46" i="22" s="1"/>
  <c r="E43" i="22"/>
  <c r="F43" i="22" s="1"/>
  <c r="E37" i="22"/>
  <c r="F37" i="22" s="1"/>
  <c r="E42" i="22"/>
  <c r="F42" i="22" s="1"/>
  <c r="E41" i="22"/>
  <c r="F41" i="22" s="1"/>
  <c r="E45" i="22"/>
  <c r="G2" i="14"/>
  <c r="E2" i="14"/>
  <c r="C2" i="14"/>
  <c r="H2" i="14"/>
  <c r="F2" i="14"/>
  <c r="D2" i="14"/>
  <c r="F54" i="23" l="1"/>
  <c r="E54" i="23"/>
  <c r="F64" i="19"/>
  <c r="G64" i="19"/>
  <c r="F60" i="17"/>
  <c r="E48" i="17"/>
  <c r="E54" i="17"/>
  <c r="I58" i="16"/>
  <c r="J58" i="16"/>
  <c r="H61" i="15"/>
  <c r="G61" i="15"/>
  <c r="F52" i="14"/>
  <c r="G52" i="14" s="1"/>
  <c r="F51" i="14"/>
  <c r="G51" i="14" s="1"/>
  <c r="F48" i="14"/>
  <c r="F46" i="14"/>
  <c r="G46" i="14" s="1"/>
  <c r="F40" i="14"/>
  <c r="G40" i="14" s="1"/>
  <c r="F38" i="14"/>
  <c r="G38" i="14" s="1"/>
  <c r="F47" i="14"/>
  <c r="G47" i="14" s="1"/>
  <c r="F55" i="14"/>
  <c r="G55" i="14" s="1"/>
  <c r="F44" i="14"/>
  <c r="G44" i="14" s="1"/>
  <c r="F56" i="14"/>
  <c r="F43" i="14"/>
  <c r="G43" i="14" s="1"/>
  <c r="F54" i="14"/>
  <c r="G54" i="14" s="1"/>
  <c r="F42" i="14"/>
  <c r="G42" i="14" s="1"/>
  <c r="F36" i="14"/>
  <c r="G36" i="14" s="1"/>
  <c r="F41" i="14"/>
  <c r="G41" i="14" s="1"/>
  <c r="F53" i="14"/>
  <c r="G53" i="14" s="1"/>
  <c r="F37" i="14"/>
  <c r="G37" i="14" s="1"/>
  <c r="F39" i="14"/>
  <c r="G39" i="14" s="1"/>
  <c r="F49" i="14"/>
  <c r="F45" i="14"/>
  <c r="G45" i="14" s="1"/>
  <c r="F55" i="22"/>
  <c r="F60" i="24"/>
  <c r="G60" i="24"/>
  <c r="E55" i="22"/>
  <c r="E60" i="17" l="1"/>
  <c r="G61" i="14"/>
  <c r="F61" i="14"/>
  <c r="H63" i="23"/>
  <c r="H64" i="23" s="1"/>
  <c r="G47" i="44"/>
  <c r="F47" i="44"/>
</calcChain>
</file>

<file path=xl/sharedStrings.xml><?xml version="1.0" encoding="utf-8"?>
<sst xmlns="http://schemas.openxmlformats.org/spreadsheetml/2006/main" count="1821" uniqueCount="489">
  <si>
    <t>Notas</t>
  </si>
  <si>
    <t>Configuración del calendario</t>
  </si>
  <si>
    <t>Año</t>
  </si>
  <si>
    <t>Inicio de la semana</t>
  </si>
  <si>
    <t>LUNES</t>
  </si>
  <si>
    <t>zaro</t>
  </si>
  <si>
    <t>Profes</t>
  </si>
  <si>
    <t>octubre</t>
  </si>
  <si>
    <t>ES36 2100 0157 8301 0245 4641</t>
  </si>
  <si>
    <t>Estel</t>
  </si>
  <si>
    <t>ES92 2100 1075 1401 0056 3652</t>
  </si>
  <si>
    <t>Pau</t>
  </si>
  <si>
    <t>ES28 2095 5465 7610 6280 7713</t>
  </si>
  <si>
    <t>Bernat</t>
  </si>
  <si>
    <t>ES53 0081 7013 9000 0617 5233</t>
  </si>
  <si>
    <t>Pati</t>
  </si>
  <si>
    <t>ES44 1465 0120 3917 3673 1951</t>
  </si>
  <si>
    <t>Mario</t>
  </si>
  <si>
    <t>efectiu</t>
  </si>
  <si>
    <t>Hector</t>
  </si>
  <si>
    <t>Zaro</t>
  </si>
  <si>
    <t>Nico</t>
  </si>
  <si>
    <t xml:space="preserve">Marc </t>
  </si>
  <si>
    <t>Candela</t>
  </si>
  <si>
    <t>Ana</t>
  </si>
  <si>
    <t>Cuberito</t>
  </si>
  <si>
    <t>Lolo</t>
  </si>
  <si>
    <t>mario</t>
  </si>
  <si>
    <t>TOTALS</t>
  </si>
  <si>
    <t>bernat mario</t>
  </si>
  <si>
    <t>ana</t>
  </si>
  <si>
    <t>festa</t>
  </si>
  <si>
    <t>tenda</t>
  </si>
  <si>
    <t>ES78 0049 4124 4027 1411 6885</t>
  </si>
  <si>
    <t>pluja</t>
  </si>
  <si>
    <t>Sofia</t>
  </si>
  <si>
    <t>Raul</t>
  </si>
  <si>
    <t>festiu</t>
  </si>
  <si>
    <t xml:space="preserve">ES70 2100 3030 3222 0039 0383    </t>
  </si>
  <si>
    <t>bernat marc candela</t>
  </si>
  <si>
    <t>bernat i mario</t>
  </si>
  <si>
    <t>Maria</t>
  </si>
  <si>
    <t>ES71 0182 5326 0802 0222 6503</t>
  </si>
  <si>
    <t>Noelia</t>
  </si>
  <si>
    <t>ES44 2100 2904 0402 7529 6171</t>
  </si>
  <si>
    <t>Lluvia</t>
  </si>
  <si>
    <t>Mario cristina bernat ana candela zaro sofia</t>
  </si>
  <si>
    <t>Miriam</t>
  </si>
  <si>
    <t>estel  bernat marc zaro candela ana  nico mario hector sofia maria miriam raul carla</t>
  </si>
  <si>
    <t>marc  candela zaro estel mario  nico ana  raul maria raul</t>
  </si>
  <si>
    <t>marc  candela zaro estel mario  nico ana  raul maria</t>
  </si>
  <si>
    <t>marc  candela zaro estel mario  nico   raul maria</t>
  </si>
  <si>
    <t>maria  ana pau</t>
  </si>
  <si>
    <t>maria ana</t>
  </si>
  <si>
    <t>pau maria ana</t>
  </si>
  <si>
    <t>febrer</t>
  </si>
  <si>
    <t>gener</t>
  </si>
  <si>
    <t>zaro mario bernat candela pati cristina hector ana</t>
  </si>
  <si>
    <t xml:space="preserve">zaro mario bernat candela pati cristina hector raul </t>
  </si>
  <si>
    <t>ES26 1465 0120 3517 5836 6575</t>
  </si>
  <si>
    <t>ES28 2100 2904 0502 22894197</t>
  </si>
  <si>
    <t>marc   ana candela mario raul bernat nico Noelia maria Miriam zaro hector</t>
  </si>
  <si>
    <t>marc   ana candela mario  bernat nico Noelia maria Miriam zaro hector</t>
  </si>
  <si>
    <t>estel  bernat marc zaro candela ana  nico mario hector sofia maria miriam carla raul</t>
  </si>
  <si>
    <t>estel bernat marc zaro miriam candela ana nico mario hector sofia maria raul</t>
  </si>
  <si>
    <t xml:space="preserve">zaro mario bernat  pati cristina hector raul </t>
  </si>
  <si>
    <t>Mario cristina bernat  candela zaro sofia</t>
  </si>
  <si>
    <t>maria nuria</t>
  </si>
  <si>
    <t>nuria pau</t>
  </si>
  <si>
    <t>Mario cristina bernat candela zaro sofia maria</t>
  </si>
  <si>
    <t>bernat candela</t>
  </si>
  <si>
    <t>nuria</t>
  </si>
  <si>
    <t>pati  bernat  zaro   nico mario hector sofia maria miriam carla raul</t>
  </si>
  <si>
    <t xml:space="preserve">  candela zaro estel mario  nico ana  raul maria</t>
  </si>
  <si>
    <t xml:space="preserve">   ana candela mario raul bernat nico Noelia maria Miriam zaro hector</t>
  </si>
  <si>
    <t xml:space="preserve"> mario raul bernat nico Noelia maria Miriam zaro hector</t>
  </si>
  <si>
    <t>ES09 0182 0209 7702 0165 7916</t>
  </si>
  <si>
    <t>Noa</t>
  </si>
  <si>
    <t xml:space="preserve">   ana candela mario raul bernat nico Noa maria Miriam zaro hector </t>
  </si>
  <si>
    <t xml:space="preserve">   ana candela mario raul bernat nico Noa maria Miriam zaro hector</t>
  </si>
  <si>
    <t xml:space="preserve">Mario cristina Noa bernat ana candela zaro </t>
  </si>
  <si>
    <t>Mario cristina bernat ana candela zaro  Noa</t>
  </si>
  <si>
    <t>nuria maria</t>
  </si>
  <si>
    <t>ES73 0049 5418 8727 1602 1109</t>
  </si>
  <si>
    <t xml:space="preserve"> mario</t>
  </si>
  <si>
    <t>estel  bernat  zaro candela ana  nico mario hector  maria miriam carla raul nuria</t>
  </si>
  <si>
    <t>bernat  candela nuria</t>
  </si>
  <si>
    <t>bernat candela nuria</t>
  </si>
  <si>
    <t>Bruno</t>
  </si>
  <si>
    <t>ES20 2100 0302 6102 0043 2434</t>
  </si>
  <si>
    <t>Nuria</t>
  </si>
  <si>
    <t>ES97 2100 0070 7701 0284 5217</t>
  </si>
  <si>
    <t xml:space="preserve"> mario  </t>
  </si>
  <si>
    <t xml:space="preserve"> mario i Mario</t>
  </si>
  <si>
    <t>casal</t>
  </si>
  <si>
    <t>ES45 0073 0100 5206 2820 9577</t>
  </si>
  <si>
    <t xml:space="preserve">pau maria </t>
  </si>
  <si>
    <t>estel  bernat  zaro   nico mario hector  maria miriam carla raul nuria candela ana</t>
  </si>
  <si>
    <t>nico mario hector  maria miriam  raul nuria bernat zaro ana candela</t>
  </si>
  <si>
    <t xml:space="preserve">  candela zaro  mario  nico ana  raul nuria</t>
  </si>
  <si>
    <t xml:space="preserve"> mario raul bernat nico  maria Miriam zaro hector ana candela</t>
  </si>
  <si>
    <t xml:space="preserve"> mario raul bernat nico  maria Miriam zaro hector Noa ana candela</t>
  </si>
  <si>
    <t xml:space="preserve">nico mario hector  maria miriam  raul nuria bernat zaro ana candela estel carla </t>
  </si>
  <si>
    <t>mario nuria</t>
  </si>
  <si>
    <t>zaro mario bernat  pati cristina hector raul ana</t>
  </si>
  <si>
    <t>zaro mario bernat candela pati cristina hector raul ana</t>
  </si>
  <si>
    <t>zaro mario bernat candela pati hector raul ana</t>
  </si>
  <si>
    <t xml:space="preserve">Mario cristina bernat candela zaro   raul ana </t>
  </si>
  <si>
    <t>Mario cristina bernat candela zaro   noa ana</t>
  </si>
  <si>
    <t>Mario cristina bernat candela zaro   ana</t>
  </si>
  <si>
    <t>restar 102,50 botin intuition</t>
  </si>
  <si>
    <t>zaro mario bernat candela cristina hector ana</t>
  </si>
  <si>
    <t xml:space="preserve">  candela zaro  mario  nico   raul maria</t>
  </si>
  <si>
    <t>nico mario hector  maria miriam  raul nuria bernat zaro ana candela carla</t>
  </si>
  <si>
    <t>Mario cristina bernat candela zaro noa</t>
  </si>
  <si>
    <t xml:space="preserve"> mario   maria miriam  raul nuria bernat zaro ana candela estel</t>
  </si>
  <si>
    <t>nico mario hector  maria miriam  raul nuria bernat zaro ana candela carla estel</t>
  </si>
  <si>
    <t>estan de competicion</t>
  </si>
  <si>
    <t xml:space="preserve">  candela zaro  mario  nico   raul maria ana estel</t>
  </si>
  <si>
    <t>Mario cristina bernat candela zaro noa ana</t>
  </si>
  <si>
    <t xml:space="preserve">  candela   mario  nico   raul maria ana estel</t>
  </si>
  <si>
    <t xml:space="preserve"> mario raul bernat nico  Bruno Miriam zaro hector noa candela ana</t>
  </si>
  <si>
    <t xml:space="preserve"> mario raul bernat   Bruno Miriam zaro hector noa candela ana</t>
  </si>
  <si>
    <t>restar 54</t>
  </si>
  <si>
    <t>Abril</t>
  </si>
  <si>
    <t>Maig</t>
  </si>
  <si>
    <t xml:space="preserve">  candela   mario     raul maria ana estel zaro</t>
  </si>
  <si>
    <t xml:space="preserve"> mario raul bernat nico  Bruno Miriam zaro hector noa candela maria</t>
  </si>
  <si>
    <t>restar 66,15</t>
  </si>
  <si>
    <t xml:space="preserve"> mario raul bernat nico  Bruno Miriam zaro hector  candela ana</t>
  </si>
  <si>
    <t xml:space="preserve">  candela zaro   nico   raul maria ana estel</t>
  </si>
  <si>
    <t>cristina bernat candela zaro  ana</t>
  </si>
  <si>
    <t>bernat</t>
  </si>
  <si>
    <t xml:space="preserve">  bernat candela  cristina   </t>
  </si>
  <si>
    <t>zaro mario bernat candela pati cristina  raul ana</t>
  </si>
  <si>
    <t xml:space="preserve"> mario raul bernat   Bruno  zaro hector noa candela ana</t>
  </si>
  <si>
    <t>Nuria maria</t>
  </si>
  <si>
    <t xml:space="preserve"> mario raul    Bruno     candela ana</t>
  </si>
  <si>
    <t xml:space="preserve">   zaro    estel</t>
  </si>
  <si>
    <t xml:space="preserve"> cristina bernat candela zaro  ana</t>
  </si>
  <si>
    <t>zaro mario bernat candela  cristina hector  ana</t>
  </si>
  <si>
    <t xml:space="preserve"> mario   maria   raul nuria bernat zaro ana candela  estel carla</t>
  </si>
  <si>
    <t xml:space="preserve"> nuria</t>
  </si>
  <si>
    <t>Juny</t>
  </si>
  <si>
    <t xml:space="preserve"> mario   maria   raul nuria bernat zaro ana candela  estel ni hector</t>
  </si>
  <si>
    <t>zaro mario bernat candela  cristina   ana pati raul</t>
  </si>
  <si>
    <t xml:space="preserve">   zaro    estel nico</t>
  </si>
  <si>
    <t xml:space="preserve"> mario   maria   raul nuria bernat zaro ana candela  estel carla hector nico</t>
  </si>
  <si>
    <t xml:space="preserve">  bernat candela zaro  ana</t>
  </si>
  <si>
    <t>AINA</t>
  </si>
  <si>
    <t>LAIA</t>
  </si>
  <si>
    <t>JANETTE</t>
  </si>
  <si>
    <t>MARC</t>
  </si>
  <si>
    <t>LUCIA</t>
  </si>
  <si>
    <t>CARLA</t>
  </si>
  <si>
    <t>MARINA</t>
  </si>
  <si>
    <t xml:space="preserve">MARI </t>
  </si>
  <si>
    <t>ES08 2100 0803 9001 1067 3807</t>
  </si>
  <si>
    <t>ES73 2100 0329 2701 0191 9566</t>
  </si>
  <si>
    <t>ES62 2100 0991 9302 0020 9323</t>
  </si>
  <si>
    <t>ES42 0182 1817 9002 0158 6470</t>
  </si>
  <si>
    <t>ES39 2100 3366 3821 0023 7449</t>
  </si>
  <si>
    <t>ES98 3025 0018 9414 0001 8728</t>
  </si>
  <si>
    <t>ES04 2100 0554 9501 0096 3580</t>
  </si>
  <si>
    <t>NINA</t>
  </si>
  <si>
    <t>ES64 2100 1153 1701 0027 4250</t>
  </si>
  <si>
    <t>ES61 3025 0017 4414 0004 5659</t>
  </si>
  <si>
    <t xml:space="preserve">ISA </t>
  </si>
  <si>
    <t>ES21 0182 8196 1602 0200 3874</t>
  </si>
  <si>
    <t>JAMILETH</t>
  </si>
  <si>
    <t>ES54 2100 3277 1921 0116 1732</t>
  </si>
  <si>
    <t>JANA</t>
  </si>
  <si>
    <t>ES69 2100 3049 1422 0046 9582</t>
  </si>
  <si>
    <t>Aina</t>
  </si>
  <si>
    <t>Octubre</t>
  </si>
  <si>
    <t>Nico Raul Aina zaro</t>
  </si>
  <si>
    <t>MARIO</t>
  </si>
  <si>
    <t>MATEO</t>
  </si>
  <si>
    <t>MARIA</t>
  </si>
  <si>
    <t>NURIA MARIA</t>
  </si>
  <si>
    <t>Nico Raul Aina zaro jaz mario bernat Lolo eric</t>
  </si>
  <si>
    <t>mario aina</t>
  </si>
  <si>
    <t>mario aina theo zaro raul nico</t>
  </si>
  <si>
    <t>pati zaro mario raul</t>
  </si>
  <si>
    <t>ES2500730100520488066277</t>
  </si>
  <si>
    <t>Mateo</t>
  </si>
  <si>
    <t>Mario Bernat jaz zaro nico cande raul aina mary</t>
  </si>
  <si>
    <t>nahuel cande jon mario  theo jaz aina raul zaro</t>
  </si>
  <si>
    <t>cande jon mario  jaz aina raul zaro</t>
  </si>
  <si>
    <t>aina jon cande mary nico zaro jaz lolo raul mario theo</t>
  </si>
  <si>
    <t>mateo</t>
  </si>
  <si>
    <t>bernat jaz mary aina zaro raul pati mario</t>
  </si>
  <si>
    <t>bernat jaz mary aina zaro raul pati amber mario</t>
  </si>
  <si>
    <t>aina jon cande nahuel mary nico zaro jaz lolo raul mario theo</t>
  </si>
  <si>
    <t>nico lolo bernat mario cande mary jon zaro jaz raul aina</t>
  </si>
  <si>
    <t>mario aina nahuel</t>
  </si>
  <si>
    <t>nahuel  jon mario  theo jaz aina raul zaro</t>
  </si>
  <si>
    <t>aina jon amber nahuel mary nico zaro jaz lolo raul mario theo</t>
  </si>
  <si>
    <t>mario nahuel</t>
  </si>
  <si>
    <t>festivo</t>
  </si>
  <si>
    <t>maria y nuria</t>
  </si>
  <si>
    <t>mateo nuria</t>
  </si>
  <si>
    <t>maria y nuria isa</t>
  </si>
  <si>
    <t>mario maria</t>
  </si>
  <si>
    <t>Mary</t>
  </si>
  <si>
    <t>jon</t>
  </si>
  <si>
    <t>ambre</t>
  </si>
  <si>
    <t>Jaz</t>
  </si>
  <si>
    <t>Mario bernat jaz zaro nico cande raul aina mary</t>
  </si>
  <si>
    <t>nico  nahuel lolo  mario bernat cande mary jon zaro jaz raul aina</t>
  </si>
  <si>
    <t>Mario amber  bernat jaz zaro nico  raul aina mary</t>
  </si>
  <si>
    <t>aina jon  nahuel mary nico zaro jaz lolo raul mario theo</t>
  </si>
  <si>
    <t xml:space="preserve">  nahuel lolo bernat mario cande  amber mary jon zaro jaz raul aina</t>
  </si>
  <si>
    <t>nahuel</t>
  </si>
  <si>
    <t>ES63 0182 7889 1102 0154 1764</t>
  </si>
  <si>
    <t>ES10 1563 2626 3532 6098 4319</t>
  </si>
  <si>
    <t>ES25 0073 0100 5204 8806 6277</t>
  </si>
  <si>
    <t>nahuel lolo bernat mario    mary jon zaro jaz raul aina</t>
  </si>
  <si>
    <t>Mario bernat jaz zaro nico  raul aina mary</t>
  </si>
  <si>
    <t xml:space="preserve">descontado 20€ ( patines) </t>
  </si>
  <si>
    <t>FR76 1254 8940 0103 0266 2704 077</t>
  </si>
  <si>
    <t>Noviembre</t>
  </si>
  <si>
    <t>Nuria Isa mateo</t>
  </si>
  <si>
    <t>Nuria mateo</t>
  </si>
  <si>
    <t>nuria alex mateo</t>
  </si>
  <si>
    <t>nuria alex isa</t>
  </si>
  <si>
    <t xml:space="preserve">mario aina </t>
  </si>
  <si>
    <t xml:space="preserve">mario </t>
  </si>
  <si>
    <t>bernat  mary aina zaro raul pati amber mario</t>
  </si>
  <si>
    <t>aina jon amber  mary nico zaro jaz lolo raul mario theo</t>
  </si>
  <si>
    <t xml:space="preserve">  jon mario  theo jaz aina raul zaro</t>
  </si>
  <si>
    <t>Mario amber  bernat jaz  nico  raul aina mary</t>
  </si>
  <si>
    <t xml:space="preserve">   lolo bernat mario   amber mary jon zaro  raul aina pati</t>
  </si>
  <si>
    <t xml:space="preserve">   lolo bernat mario   amber mary jon zaro jaz raul aina</t>
  </si>
  <si>
    <t>Theo</t>
  </si>
  <si>
    <t xml:space="preserve">   lolo bernat mario  pati amber mary jon zaro  raul aina</t>
  </si>
  <si>
    <t>nuria mateo isa</t>
  </si>
  <si>
    <t>ES98 0182 5326 0602 0811 5858</t>
  </si>
  <si>
    <t xml:space="preserve">restar 20 </t>
  </si>
  <si>
    <t>Manuela</t>
  </si>
  <si>
    <t>Isaac</t>
  </si>
  <si>
    <t>Jota Salva Mary</t>
  </si>
  <si>
    <t>Salva</t>
  </si>
  <si>
    <t>Marian</t>
  </si>
  <si>
    <t>Richard</t>
  </si>
  <si>
    <t>Laura</t>
  </si>
  <si>
    <t>Jota</t>
  </si>
  <si>
    <t>Carlos</t>
  </si>
  <si>
    <t>Montse</t>
  </si>
  <si>
    <t>Carlos Mario</t>
  </si>
  <si>
    <t>Carlos Nuria Alex</t>
  </si>
  <si>
    <t>Manuela Carlos     Raúl</t>
  </si>
  <si>
    <t xml:space="preserve">Julia </t>
  </si>
  <si>
    <t>John</t>
  </si>
  <si>
    <t>Noemi</t>
  </si>
  <si>
    <t>Raúl</t>
  </si>
  <si>
    <t>Alex</t>
  </si>
  <si>
    <t>Isa</t>
  </si>
  <si>
    <t>Eric</t>
  </si>
  <si>
    <t>Shamil</t>
  </si>
  <si>
    <t>Seguretat social</t>
  </si>
  <si>
    <t xml:space="preserve">Raúl Amanda Jota Carlos Salva Marian Mary Montse Mario Richard </t>
  </si>
  <si>
    <t>Manuela Carlos     Raúl Jota Richard Salva Mary</t>
  </si>
  <si>
    <t>ES28 2100 0724 4101 0076 2324</t>
  </si>
  <si>
    <t>ES03 2100 3856 4601 0003 1495</t>
  </si>
  <si>
    <t>Ishtar</t>
  </si>
  <si>
    <t>Matias</t>
  </si>
  <si>
    <t>amanda</t>
  </si>
  <si>
    <t xml:space="preserve">Nuria Alex asencio </t>
  </si>
  <si>
    <t>novembre</t>
  </si>
  <si>
    <t>Bruna</t>
  </si>
  <si>
    <t>ingresos Coles</t>
  </si>
  <si>
    <t>Ingresos botiga</t>
  </si>
  <si>
    <t>Saldo Coles</t>
  </si>
  <si>
    <t>SaldoBrut Total</t>
  </si>
  <si>
    <t>Berta</t>
  </si>
  <si>
    <t>ES84 2100 0803 9001 1040 0548</t>
  </si>
  <si>
    <t>ES09 2100 3066 2821 0173 6124</t>
  </si>
  <si>
    <t>ES52 2100 3285 1621 0093 8609</t>
  </si>
  <si>
    <t>ES15 0182 9003 9102 0530 1995</t>
  </si>
  <si>
    <t>ES10 2100 1085 9601 0092 9792</t>
  </si>
  <si>
    <t>ES48 0182 9003 9402 0416 8197</t>
  </si>
  <si>
    <t>ES86 2100 3220 3722 0027 1419</t>
  </si>
  <si>
    <t>ES63 1563 2626 3132 6799 0938</t>
  </si>
  <si>
    <t>ES24 2085 9317 8503 3052 0765</t>
  </si>
  <si>
    <t>Lolo Isaac</t>
  </si>
  <si>
    <t>Mario Montse Txema</t>
  </si>
  <si>
    <t xml:space="preserve">Laura Bruna Estel Mary jota Carlos Raúl Isaac salva </t>
  </si>
  <si>
    <t xml:space="preserve"> Richard Mario Carlos Matias Mary Lolo Salva Iria Noemi Marian Jota Raúl montse</t>
  </si>
  <si>
    <t>Xavi</t>
  </si>
  <si>
    <t>Torralba</t>
  </si>
  <si>
    <t xml:space="preserve">Carlos </t>
  </si>
  <si>
    <t xml:space="preserve">Nuria  asencio </t>
  </si>
  <si>
    <t>montse Richard Mario Carlos Mary Lolo Salva Iria  Marian Jota Raúl matias</t>
  </si>
  <si>
    <t xml:space="preserve">Raúl torralba Jota Carlos Salva Marian Mary Montse Mario Richard </t>
  </si>
  <si>
    <t xml:space="preserve"> Carlos     Raúl Jota Richard Salva Mary</t>
  </si>
  <si>
    <t>añadir 1 clase</t>
  </si>
  <si>
    <t>Arnau</t>
  </si>
  <si>
    <t xml:space="preserve"> Mario Laura Raúl estel Julia Ishtar Berta Jota Carlos Lolo Isaac xavi Mary Salva Marian Torralba arnau</t>
  </si>
  <si>
    <t xml:space="preserve"> Mario Laura Raúl  Julia Ishtar Berta Jota Carlos Lolo Isaac xavi Mary Salva Marian amanda arnau</t>
  </si>
  <si>
    <t>ES30 2100 0098 8701 0540 8631</t>
  </si>
  <si>
    <t>ES89 0182 9003 9202 0565 4082</t>
  </si>
  <si>
    <t>ES96 2100 3313 3322 0025 3690</t>
  </si>
  <si>
    <t>pendiente</t>
  </si>
  <si>
    <t>Iria</t>
  </si>
  <si>
    <t xml:space="preserve">Laura Bruna Estel Mary  Carlos Raúl Isaac salva Mario </t>
  </si>
  <si>
    <t>montse Richard Mario Carlos Mary Lolo Salva Iria Noemi Marian  Raúl matias Xavi</t>
  </si>
  <si>
    <t>ES02 2100 3261 7521 0095 8091</t>
  </si>
  <si>
    <t xml:space="preserve"> Carlos  Manuela   Raúl Jota Richard Salva Mary</t>
  </si>
  <si>
    <t xml:space="preserve"> Mario Laura Raúl estel Julia Ishtar  Jota Carlos Lolo Isaac xavi Mary Salva Marian arnau torralba</t>
  </si>
  <si>
    <t>efectiu 03/12/2025</t>
  </si>
  <si>
    <t>Carlos Jota Txema</t>
  </si>
  <si>
    <t>Carlos Alex Nuria</t>
  </si>
  <si>
    <t xml:space="preserve"> Mario Laura Raúl  Julia Ishtar Berta Jota Carlos Lolo Isaac xavi Mary Salva Marian amanda arnau Montse Estel</t>
  </si>
  <si>
    <t>FESTIU</t>
  </si>
  <si>
    <t>montse Richard Mario Carlos Mary Lolo Salva  Noemi Marian Jota Raúl matias torralba</t>
  </si>
  <si>
    <t>montse Richard Mario Carlos Mary Lolo Salva Iria Noemi Marian Jota Raúl torralba</t>
  </si>
  <si>
    <t>montse Richard Mario Carlos Mary Lolo Salva   Marian Jota Raúl matias torralba</t>
  </si>
  <si>
    <t xml:space="preserve"> Mario        Carlos     Salva   arnau  Estel</t>
  </si>
  <si>
    <t xml:space="preserve">montse Richard Mario Carlos Mary Lolo Salva Iria Noemi Marian Jota Raúl </t>
  </si>
  <si>
    <t xml:space="preserve">    Salva    Mario  carlos</t>
  </si>
  <si>
    <t xml:space="preserve">        salva carlos</t>
  </si>
  <si>
    <t xml:space="preserve">         Salva carlos</t>
  </si>
  <si>
    <t>carlos salva arnau</t>
  </si>
  <si>
    <t>salva carlos</t>
  </si>
  <si>
    <t>carlos salva</t>
  </si>
  <si>
    <t xml:space="preserve">      Salva  Noemi  carlos  </t>
  </si>
  <si>
    <t xml:space="preserve"> Bruna Estel Mary jota Carlos Raúl Isaac salva </t>
  </si>
  <si>
    <t xml:space="preserve"> Mario  Raúl  Julia Ishtar Berta Jota Carlos Lolo Isaac xavi Mary Salva Marian amanda arnau Montse Estel</t>
  </si>
  <si>
    <t xml:space="preserve"> Carlos  Manuela     Richard Salva Mary</t>
  </si>
  <si>
    <t>Gener</t>
  </si>
  <si>
    <t>Carlos Mario Txema</t>
  </si>
  <si>
    <t xml:space="preserve"> Alex Nuria</t>
  </si>
  <si>
    <t>Raúl torralba Jota Carlos Salva Mary Montse Mario Richard arnau</t>
  </si>
  <si>
    <t xml:space="preserve"> Bruna Estel Mary jota Carlos Raúl Isaac salva laura</t>
  </si>
  <si>
    <t xml:space="preserve"> Mario  Raúl  Julia Ishtar Berta Jota Carlos Lolo Isaac xavi Mary Salva amanda arnau Montse Estel Laura Torralba</t>
  </si>
  <si>
    <t xml:space="preserve"> Mario  Raúl  Julia Ishtar Berta Jota Carlos Lolo Isaac xavi Mary Salva amanda arnau Montse Estel Laura </t>
  </si>
  <si>
    <t>Estel Montse Mary jota Carlos Raúl Isaac salva laura</t>
  </si>
  <si>
    <t>Bruna Estel Montse Mary jota Carlos Raúl Isaac salva laura</t>
  </si>
  <si>
    <t>Carlos Montse Patxi</t>
  </si>
  <si>
    <t>Carlos Mario Patxi</t>
  </si>
  <si>
    <t>Raúl torralba Jota Carlos Salva Mary Mario Richard arnau</t>
  </si>
  <si>
    <t>montse Richard Mario Carlos Mary Lolo Salva  Noemi Xavi Jota Raúl matias torralba Manolo Iria</t>
  </si>
  <si>
    <t>montse Richard Mario Carlos Mary Lolo Salva  Noemi Xavi Jota Raúl matias torralba Manolo Ingrid Iria</t>
  </si>
  <si>
    <t xml:space="preserve"> Mario  Raúl  Julia Ishtar Jota Carlos Lolo Isaac xavi Mary Salva amanda arnau Montse  Laura Torralba</t>
  </si>
  <si>
    <t>Manolo</t>
  </si>
  <si>
    <t>jordi</t>
  </si>
  <si>
    <t>montse Mario Carlos Mary Lolo Salva  Noemi Marian Jota Raúl matias torralba Manolo Iria xavi</t>
  </si>
  <si>
    <t xml:space="preserve"> Richard Mario Carlos Mary Lolo Salva  Noemi Xavi Jota Raúl matias torralba Manolo Ingrid Iria</t>
  </si>
  <si>
    <t>Bruna  Montse Mary jota Carlos Raúl Isaac salva laura</t>
  </si>
  <si>
    <t>Febrer</t>
  </si>
  <si>
    <t xml:space="preserve"> Mario  Raúl  Julia Ishtar Jota Carlos Lolo Isaac xavi Mary Salva amanda arnau Montse  Laura Torralba Manolo</t>
  </si>
  <si>
    <t>Raúl torralba Jota Carlos Salva Mary Mario Richard Manolo</t>
  </si>
  <si>
    <t>Mario Txema Jota</t>
  </si>
  <si>
    <t>Raúl torralba Jota Carlos Salva Mary Mario Richard Manolo Montse</t>
  </si>
  <si>
    <t xml:space="preserve"> Lolo Isaac salva arnau carlos</t>
  </si>
  <si>
    <t>Ingrid</t>
  </si>
  <si>
    <t>berta</t>
  </si>
  <si>
    <t xml:space="preserve"> Mario  Raúl  Julia Ishtar Jota Carlos Lolo Isaac xavi Mary Salva amanda arnau Montse  Laura Torralba Manolo berta</t>
  </si>
  <si>
    <t xml:space="preserve"> Mario  Raúl  Julia Ishtar Jota Carlos Lolo Isaac xavi Mary Salva amanda arnau Montse  Laura Torralba Estel berta</t>
  </si>
  <si>
    <t xml:space="preserve"> Carlos Manuela Richard Salva Mary jota Raúl</t>
  </si>
  <si>
    <t xml:space="preserve"> Carlos Richard Salva Mary jota Raúl</t>
  </si>
  <si>
    <t>Montse Mario Txema</t>
  </si>
  <si>
    <t>Montse Mary jota Carlos Raúl Isaac salva laura Bruna</t>
  </si>
  <si>
    <t xml:space="preserve"> Richard Mario Carlos Mary Lolo Salva  Noemi Xavi Jota Raúl matias torralba Manolo Ingrid Iria Montse</t>
  </si>
  <si>
    <t xml:space="preserve">  Manuela Richard Salva Mary jota Raúl Mario</t>
  </si>
  <si>
    <t>Bruna  Montse Mary jota Carlos Raúl Isaac salva</t>
  </si>
  <si>
    <t>ES69 1465 0120 31 1772639450</t>
  </si>
  <si>
    <t xml:space="preserve"> Richard Mario Carlos Mary Lolo Salva  Noemi Xavi Jota Raúl  torralba Manolo Ingrid Iria</t>
  </si>
  <si>
    <t>Mario Txema</t>
  </si>
  <si>
    <t xml:space="preserve"> Mario  Raúl  Julia Ishtar Jota Carlos Lolo Isaac xavi Mary Salva amanda arnau Montse  Laura Torralba berta manolo</t>
  </si>
  <si>
    <t xml:space="preserve"> Mario  Raúl  Julia Ishtar Jota Carlos Lolo Isaac xavi Mary Salva amanda arnau Laura Torralba berta manolo</t>
  </si>
  <si>
    <t>Raúl torralba Jota Carlos Salva Mary Mario Richard  Manolo Montse</t>
  </si>
  <si>
    <t>s'han avançat 200</t>
  </si>
  <si>
    <t>Montse Mary jota Carlos raul Isaac salva laura Bruna</t>
  </si>
  <si>
    <t xml:space="preserve"> Richard Mario Carlos Mary Lolo Salva  Noemi Xavi Jota raul matias torralba Manolo Ingrid Iria Montse</t>
  </si>
  <si>
    <t xml:space="preserve"> Carlos Mario Richard Salva Mary jota raul</t>
  </si>
  <si>
    <t xml:space="preserve"> Richard Mario Carlos Mary Lolo Salva  Noemi Xavi Jota raul  torralba Manolo Iria Montse</t>
  </si>
  <si>
    <t xml:space="preserve"> Carlos Shamil Richard Salva Mary jota raul</t>
  </si>
  <si>
    <t xml:space="preserve"> Richard Mario Carlos Mary Lolo Salva  Noemi Nil Jota raul  torralba Manolo Iria Montse</t>
  </si>
  <si>
    <t xml:space="preserve"> Carlos Manuela Richard Salva Mary jota raul</t>
  </si>
  <si>
    <t>raul</t>
  </si>
  <si>
    <t xml:space="preserve"> Richard Mario Carlos Mary Lolo Salva  Noemi Xavi Jota raul torralba Manolo Iria Montse</t>
  </si>
  <si>
    <t>raul torralba Jota Carlos Salva Mary Mario Richard Manolo Montse</t>
  </si>
  <si>
    <t>Salva Arnau</t>
  </si>
  <si>
    <t>Alex efectiu</t>
  </si>
  <si>
    <t>nuria alex</t>
  </si>
  <si>
    <t xml:space="preserve"> Carlos manuela Richard Salva Mary jota raul</t>
  </si>
  <si>
    <t xml:space="preserve">Montse Mary jota Carlos raul Isaac salva laura Bruna </t>
  </si>
  <si>
    <t xml:space="preserve"> Mario  raul  Julia Ishtar Jota Carlos Lolo Isaac xavi Mary Salva Ingrid arnau Montse  Laura Torralba berta estel manolo</t>
  </si>
  <si>
    <t xml:space="preserve"> Mario  raul  Julia Ishtar Jota Carlos Lolo Isaac xavi Mary Salva Ingrid arnau Montse  Laura Torralba manolo</t>
  </si>
  <si>
    <t xml:space="preserve"> Mario  raul  Julia Ishtar Jota Carlos Lolo Isaac xavi Mary Salva Ingrid arnau  Laura Torralba berta  manolo</t>
  </si>
  <si>
    <t>Montse Mary jota Carlos raul salva laura Bruna Nil</t>
  </si>
  <si>
    <t>raul torralba Jota Carlos Salva Mary Mario Nil Manolo</t>
  </si>
  <si>
    <t xml:space="preserve"> Carlos manuela Salva</t>
  </si>
  <si>
    <t>FESTIU salva arnau</t>
  </si>
  <si>
    <t>Nil</t>
  </si>
  <si>
    <t>Mario Nuria</t>
  </si>
  <si>
    <t>raul Jota Carlos Salva Mary Mario Nil Manolo Montse</t>
  </si>
  <si>
    <t xml:space="preserve"> Nuria Mario</t>
  </si>
  <si>
    <t xml:space="preserve"> Carlos manuela Richard Salva Mary jota raul Xavi</t>
  </si>
  <si>
    <t xml:space="preserve"> Richard Mario Carlos Mary Lolo Salva  Noemi Xavi Jota raul  Manolo Iria Montse Matias</t>
  </si>
  <si>
    <t xml:space="preserve"> Richard Mario Carlos Mary Lolo Salva  Noemi Xavi Jota raul  torralba Manolo Iria Montse Matias</t>
  </si>
  <si>
    <t xml:space="preserve"> Richard Mario Carlos Mary Lolo Salva  Noemi Xavi Jota raul Manolo Iria Montse </t>
  </si>
  <si>
    <t xml:space="preserve">Nuria Alex asencio Salva Mary Arnau  </t>
  </si>
  <si>
    <t>raul  Jota Carlos Salva Mary Mario Shamil Manolo Montse</t>
  </si>
  <si>
    <r>
      <t>raul</t>
    </r>
    <r>
      <rPr>
        <b/>
        <sz val="11"/>
        <color rgb="FFFF0000"/>
        <rFont val="Lucida Sans"/>
        <family val="2"/>
        <scheme val="minor"/>
      </rPr>
      <t xml:space="preserve"> </t>
    </r>
    <r>
      <rPr>
        <b/>
        <sz val="11"/>
        <color theme="1" tint="0.34998626667073579"/>
        <rFont val="Lucida Sans"/>
        <family val="2"/>
        <charset val="238"/>
        <scheme val="minor"/>
      </rPr>
      <t xml:space="preserve"> Jota Carlos Salva Mary Mario Richard Manolo Montse</t>
    </r>
  </si>
  <si>
    <t xml:space="preserve"> Mario  raul  Julia Ishtar Jota Carlos Lolo xavi Mary Salva Ingrid arnau Montse Torralba berta Nil manolo</t>
  </si>
  <si>
    <t xml:space="preserve"> Mario  raul Ishtar Jota Carlos Lolo xavi Mary Salva Ingrid arnau Montse  Laura Torralba berta estel manolo</t>
  </si>
  <si>
    <t xml:space="preserve"> Mario  raul  Julia Ishtar Jota Carlos Lolo Isaac xavi Mary Salva Ingrid arnau Montse  Laura berta estel manolo</t>
  </si>
  <si>
    <t xml:space="preserve"> Mario Nuria</t>
  </si>
  <si>
    <t xml:space="preserve"> Richard Mario Carlos Mary Lolo Salva  Noemi Xavi raul Manolo Iria Montse Matias</t>
  </si>
  <si>
    <t xml:space="preserve"> Richard Mario Carlos Mary Lolo Salva  Noemi Xavi raul  Manolo Iria Montse Matias</t>
  </si>
  <si>
    <t xml:space="preserve">Salva Mary </t>
  </si>
  <si>
    <t xml:space="preserve"> Mario  raul  Julia Ishtar Jota Carlos Lolo xavi Mary Salva Ingrid arnau Montse Isaac berta manolo</t>
  </si>
  <si>
    <t>raul Mary Mario Richard Manolo Montse Nil</t>
  </si>
  <si>
    <r>
      <t>raul</t>
    </r>
    <r>
      <rPr>
        <b/>
        <sz val="11"/>
        <color rgb="FFFF0000"/>
        <rFont val="Lucida Sans"/>
        <family val="2"/>
        <scheme val="minor"/>
      </rPr>
      <t xml:space="preserve"> </t>
    </r>
    <r>
      <rPr>
        <b/>
        <sz val="11"/>
        <color theme="1" tint="0.34998626667073579"/>
        <rFont val="Lucida Sans"/>
        <family val="2"/>
        <charset val="238"/>
        <scheme val="minor"/>
      </rPr>
      <t xml:space="preserve"> Mary Mario Richard Manolo Montse Nil</t>
    </r>
  </si>
  <si>
    <t xml:space="preserve"> Mario  raul  Julia Jota Carlos Lolo  Mary Salva Ingrid arnau Montse  berta Nil manolo estel</t>
  </si>
  <si>
    <t>Montse Carlos salva  Bruna</t>
  </si>
  <si>
    <t xml:space="preserve">Montse Carlos salva  Bruna </t>
  </si>
  <si>
    <t xml:space="preserve">Montse Carlos salva   </t>
  </si>
  <si>
    <t>nuria asencio</t>
  </si>
  <si>
    <t>ES67 2100 4685 6101 0032 1353</t>
  </si>
  <si>
    <t>ES81 2100 0780 1801 0057 6852</t>
  </si>
  <si>
    <t>Aleix</t>
  </si>
  <si>
    <t>Candelaria</t>
  </si>
  <si>
    <t>Hector B</t>
  </si>
  <si>
    <t>ES35 1465 0120 3920 5171  2841</t>
  </si>
  <si>
    <t>Jeanette</t>
  </si>
  <si>
    <t>Maria P</t>
  </si>
  <si>
    <t>ES20 0081 2710 1100 0696 8603</t>
  </si>
  <si>
    <t>ES15 1465 0120 3317 6536 4257</t>
  </si>
  <si>
    <t>Mireia</t>
  </si>
  <si>
    <t>ES28 2100 0591 4801 0074 5933</t>
  </si>
  <si>
    <t>valery</t>
  </si>
  <si>
    <t>ES03 2100 0806 2701 1137 3197</t>
  </si>
  <si>
    <t>ES80 2100 0501 9801 0124 0292</t>
  </si>
  <si>
    <t>n compte</t>
  </si>
  <si>
    <t>nom</t>
  </si>
  <si>
    <t>hores</t>
  </si>
  <si>
    <t>import</t>
  </si>
  <si>
    <t>Mariajo</t>
  </si>
  <si>
    <t>Gines</t>
  </si>
  <si>
    <t>Helena Perez</t>
  </si>
  <si>
    <t>encarna</t>
  </si>
  <si>
    <t>jeshua</t>
  </si>
  <si>
    <t>javi</t>
  </si>
  <si>
    <t>sergio</t>
  </si>
  <si>
    <t>ES73 2100 3195 3421 0079 2857</t>
  </si>
  <si>
    <t>Patricia B</t>
  </si>
  <si>
    <t>ES13 0049 4722 7420 9533 8524</t>
  </si>
  <si>
    <t>Setembre</t>
  </si>
  <si>
    <t>Laura M.</t>
  </si>
  <si>
    <t>Jesús</t>
  </si>
  <si>
    <t>Mati</t>
  </si>
  <si>
    <t>Naiara</t>
  </si>
  <si>
    <t xml:space="preserve">Mary Naiara Manolo </t>
  </si>
  <si>
    <t>Mario Hector Raúl Montse</t>
  </si>
  <si>
    <t>Pau (100 patins)</t>
  </si>
  <si>
    <t>LA MERCÈ</t>
  </si>
  <si>
    <t>Hector LauraM Nil Montse Salva Mary Raúl</t>
  </si>
  <si>
    <t xml:space="preserve">Mario Hector Raúl Maty Naiara Richard Manolo Nil </t>
  </si>
  <si>
    <t>Manolo Mati Salva Iria Mario Hector Montse Raúl Paula Xavi</t>
  </si>
  <si>
    <t>Mary Naiara Manolo Raúl Montse</t>
  </si>
  <si>
    <t>Manolo Mati Salva Iria Mario Montse Raúl</t>
  </si>
  <si>
    <t>Isa Nuria Alex</t>
  </si>
  <si>
    <t>Nuria Alex</t>
  </si>
  <si>
    <t>Ambre</t>
  </si>
  <si>
    <t>Leyre</t>
  </si>
  <si>
    <t>Mario Montse Nil Salva Xavi Hector Raúl LauraM</t>
  </si>
  <si>
    <t xml:space="preserve">Xavi Montse </t>
  </si>
  <si>
    <t>Mary Montse Nil Salva Xavi Hector Raúl</t>
  </si>
  <si>
    <t xml:space="preserve">Mario Montse Nil Salva Xavi Hector Raúl, </t>
  </si>
  <si>
    <t xml:space="preserve">Salle Salva Mary </t>
  </si>
  <si>
    <t>+1part</t>
  </si>
  <si>
    <t>Manolo Mati Salva Iria Xavi Hector Montse Raúl Nil Pau Leyre Mary</t>
  </si>
  <si>
    <t>Mary Naiara Manolo Salva Jota Ambre Xavi Richard Nil Raúl Montse</t>
  </si>
  <si>
    <t>Salva Mario Hector Raúl Montse Mary Naiara Richard Manolo Nil Jota Ambre Adri</t>
  </si>
  <si>
    <t xml:space="preserve">Xavi Raúl Montse Maty Naiara Richard Manolo Nil Jota </t>
  </si>
  <si>
    <t xml:space="preserve">Manolo Mati Salva Iria Mario Hector Montse Adri Raúl Paula Nil Pau Leyre Xavi Mary Jota LauraM </t>
  </si>
  <si>
    <t>Adri</t>
  </si>
  <si>
    <t>Paula</t>
  </si>
  <si>
    <t xml:space="preserve">Jota Salva Mary Raúl Manolo Ambre Nil Montse Xavi </t>
  </si>
  <si>
    <t>Hector Ambre Nil Montse Jota Salva Mary Raúl Adri</t>
  </si>
  <si>
    <t>Mary Naiara Manolo Salva Jota Ambre Xavi Mario Richard Nil Raúl Montse</t>
  </si>
  <si>
    <t>Mario Montse LauraM Nil Salva Xavi Raúl Mary Jota Paula</t>
  </si>
  <si>
    <t>Mario Montse LauraM Nil Salva Xavi Hector Raúl Mary Jota Paula</t>
  </si>
  <si>
    <t>Manolo Mati Salva Iria Mario Montse Adri Raúl Paula Nil Pau Leyre Xavi Mary Jota LauraM</t>
  </si>
  <si>
    <t>Festiu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</si>
</sst>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2" formatCode="_-* #,##0\ &quot;€&quot;_-;\-* #,##0\ &quot;€&quot;_-;_-* &quot;-&quot;\ &quot;€&quot;_-;_-@_-"/>
    <numFmt numFmtId="44" formatCode="_-* #,##0.00\ &quot;€&quot;_-;\-* #,##0.00\ &quot;€&quot;_-;_-* &quot;-&quot;??\ &quot;€&quot;_-;_-@_-"/>
    <numFmt numFmtId="164" formatCode="_(* #,##0_);_(* \(#,##0\);_(* &quot;-&quot;_);_(@_)"/>
    <numFmt numFmtId="165" formatCode="_(* #,##0.00_);_(* \(#,##0.00\);_(* &quot;-&quot;??_);_(@_)"/>
    <numFmt numFmtId="166" formatCode="d"/>
  </numFmts>
  <fonts count="87">
    <font>
      <sz val="11"/>
      <color theme="1" tint="0.24994659260841701"/>
      <name val="Lucida Sans"/>
      <family val="2"/>
      <scheme val="minor"/>
    </font>
    <font>
      <sz val="11"/>
      <color theme="1"/>
      <name val="Lucida Sans"/>
      <family val="2"/>
      <scheme val="minor"/>
    </font>
    <font>
      <sz val="11"/>
      <color theme="1"/>
      <name val="Lucida Sans"/>
      <family val="2"/>
      <scheme val="minor"/>
    </font>
    <font>
      <sz val="11"/>
      <color theme="1"/>
      <name val="Lucida Sans"/>
      <family val="2"/>
      <scheme val="minor"/>
    </font>
    <font>
      <sz val="11"/>
      <color theme="1"/>
      <name val="Lucida Sans"/>
      <family val="2"/>
      <scheme val="minor"/>
    </font>
    <font>
      <sz val="11"/>
      <color theme="1"/>
      <name val="Lucida Sans"/>
      <family val="2"/>
      <scheme val="minor"/>
    </font>
    <font>
      <sz val="11"/>
      <color theme="1"/>
      <name val="Lucida Sans"/>
      <family val="2"/>
      <scheme val="minor"/>
    </font>
    <font>
      <sz val="11"/>
      <color theme="1"/>
      <name val="Lucida Sans"/>
      <family val="2"/>
      <scheme val="minor"/>
    </font>
    <font>
      <sz val="11"/>
      <color theme="1"/>
      <name val="Lucida Sans"/>
      <family val="2"/>
      <scheme val="minor"/>
    </font>
    <font>
      <sz val="11"/>
      <color theme="1"/>
      <name val="Lucida Sans"/>
      <family val="2"/>
      <scheme val="minor"/>
    </font>
    <font>
      <sz val="11"/>
      <color theme="1"/>
      <name val="Lucida Sans"/>
      <family val="2"/>
      <scheme val="minor"/>
    </font>
    <font>
      <sz val="11"/>
      <color theme="1"/>
      <name val="Lucida Sans"/>
      <family val="2"/>
      <scheme val="minor"/>
    </font>
    <font>
      <sz val="11"/>
      <color theme="1"/>
      <name val="Lucida Sans"/>
      <family val="2"/>
      <scheme val="minor"/>
    </font>
    <font>
      <sz val="11"/>
      <color theme="1"/>
      <name val="Lucida Sans"/>
      <family val="2"/>
      <scheme val="minor"/>
    </font>
    <font>
      <sz val="11"/>
      <color theme="1"/>
      <name val="Lucida Sans"/>
      <family val="2"/>
      <scheme val="minor"/>
    </font>
    <font>
      <sz val="11"/>
      <color theme="1"/>
      <name val="Lucida Sans"/>
      <family val="2"/>
      <scheme val="minor"/>
    </font>
    <font>
      <sz val="11"/>
      <color theme="1"/>
      <name val="Lucida Sans"/>
      <family val="2"/>
      <scheme val="minor"/>
    </font>
    <font>
      <sz val="11"/>
      <color theme="1"/>
      <name val="Lucida Sans"/>
      <family val="2"/>
      <scheme val="minor"/>
    </font>
    <font>
      <sz val="11"/>
      <color theme="1"/>
      <name val="Lucida Sans"/>
      <family val="2"/>
      <scheme val="minor"/>
    </font>
    <font>
      <sz val="11"/>
      <color theme="1"/>
      <name val="Lucida Sans"/>
      <family val="2"/>
      <scheme val="minor"/>
    </font>
    <font>
      <sz val="11"/>
      <color theme="1"/>
      <name val="Lucida Sans"/>
      <family val="2"/>
      <scheme val="minor"/>
    </font>
    <font>
      <sz val="11"/>
      <color theme="1"/>
      <name val="Lucida Sans"/>
      <family val="2"/>
      <scheme val="minor"/>
    </font>
    <font>
      <sz val="11"/>
      <color theme="1"/>
      <name val="Lucida Sans"/>
      <family val="2"/>
      <scheme val="minor"/>
    </font>
    <font>
      <sz val="11"/>
      <color theme="1"/>
      <name val="Lucida Sans"/>
      <family val="2"/>
      <scheme val="minor"/>
    </font>
    <font>
      <sz val="11"/>
      <color theme="1"/>
      <name val="Lucida Sans"/>
      <family val="2"/>
      <scheme val="minor"/>
    </font>
    <font>
      <sz val="11"/>
      <color theme="1"/>
      <name val="Lucida Sans"/>
      <family val="2"/>
      <scheme val="minor"/>
    </font>
    <font>
      <sz val="11"/>
      <color theme="1"/>
      <name val="Lucida Sans"/>
      <family val="2"/>
      <scheme val="minor"/>
    </font>
    <font>
      <sz val="11"/>
      <color theme="1"/>
      <name val="Lucida Sans"/>
      <family val="2"/>
      <scheme val="minor"/>
    </font>
    <font>
      <sz val="11"/>
      <color theme="1"/>
      <name val="Lucida Sans"/>
      <family val="2"/>
      <scheme val="minor"/>
    </font>
    <font>
      <sz val="11"/>
      <color theme="1"/>
      <name val="Lucida Sans"/>
      <family val="2"/>
      <scheme val="minor"/>
    </font>
    <font>
      <sz val="11"/>
      <color theme="1"/>
      <name val="Lucida Sans"/>
      <family val="2"/>
      <scheme val="minor"/>
    </font>
    <font>
      <sz val="11"/>
      <color theme="1"/>
      <name val="Lucida Sans"/>
      <family val="2"/>
      <scheme val="minor"/>
    </font>
    <font>
      <sz val="11"/>
      <color theme="1"/>
      <name val="Lucida Sans"/>
      <family val="2"/>
      <scheme val="minor"/>
    </font>
    <font>
      <sz val="11"/>
      <color theme="1"/>
      <name val="Lucida Sans"/>
      <family val="2"/>
      <scheme val="minor"/>
    </font>
    <font>
      <sz val="11"/>
      <color theme="1"/>
      <name val="Lucida Sans"/>
      <family val="2"/>
      <scheme val="minor"/>
    </font>
    <font>
      <sz val="11"/>
      <color theme="1"/>
      <name val="Lucida Sans"/>
      <family val="2"/>
      <scheme val="minor"/>
    </font>
    <font>
      <sz val="11"/>
      <color theme="1"/>
      <name val="Lucida Sans"/>
      <family val="2"/>
      <scheme val="minor"/>
    </font>
    <font>
      <sz val="11"/>
      <color theme="1"/>
      <name val="Lucida Sans"/>
      <family val="2"/>
      <scheme val="minor"/>
    </font>
    <font>
      <sz val="11"/>
      <color theme="1"/>
      <name val="Lucida Sans"/>
      <family val="2"/>
      <scheme val="minor"/>
    </font>
    <font>
      <sz val="11"/>
      <color theme="1"/>
      <name val="Lucida Sans"/>
      <family val="2"/>
      <scheme val="minor"/>
    </font>
    <font>
      <sz val="11"/>
      <color theme="1"/>
      <name val="Lucida Sans"/>
      <family val="2"/>
      <scheme val="minor"/>
    </font>
    <font>
      <sz val="11"/>
      <color theme="1"/>
      <name val="Lucida Sans"/>
      <family val="2"/>
      <scheme val="minor"/>
    </font>
    <font>
      <sz val="11"/>
      <color theme="1"/>
      <name val="Lucida Sans"/>
      <family val="2"/>
      <scheme val="minor"/>
    </font>
    <font>
      <sz val="11"/>
      <color theme="1"/>
      <name val="Lucida Sans"/>
      <family val="2"/>
      <scheme val="minor"/>
    </font>
    <font>
      <sz val="11"/>
      <color theme="1"/>
      <name val="Lucida Sans"/>
      <family val="2"/>
      <scheme val="minor"/>
    </font>
    <font>
      <sz val="8"/>
      <name val="Arial"/>
      <family val="2"/>
    </font>
    <font>
      <sz val="10"/>
      <name val="Century Gothic"/>
      <family val="2"/>
    </font>
    <font>
      <b/>
      <sz val="11"/>
      <color theme="0"/>
      <name val="Lucida Sans"/>
      <family val="2"/>
      <scheme val="minor"/>
    </font>
    <font>
      <b/>
      <sz val="14"/>
      <color theme="0"/>
      <name val="Lucida Sans"/>
      <family val="2"/>
      <scheme val="minor"/>
    </font>
    <font>
      <sz val="35"/>
      <color theme="4"/>
      <name val="Lucida Sans"/>
      <family val="2"/>
      <scheme val="minor"/>
    </font>
    <font>
      <sz val="11"/>
      <color theme="1" tint="0.34998626667073579"/>
      <name val="Lucida Sans"/>
      <family val="2"/>
      <scheme val="minor"/>
    </font>
    <font>
      <sz val="11"/>
      <color theme="4" tint="-0.24994659260841701"/>
      <name val="Lucida Sans"/>
      <family val="2"/>
      <scheme val="minor"/>
    </font>
    <font>
      <sz val="11"/>
      <color indexed="63"/>
      <name val="Lucida Sans"/>
      <family val="2"/>
      <scheme val="minor"/>
    </font>
    <font>
      <b/>
      <sz val="11"/>
      <color theme="1" tint="0.34998626667073579"/>
      <name val="Lucida Sans"/>
      <family val="2"/>
      <scheme val="minor"/>
    </font>
    <font>
      <sz val="11"/>
      <color theme="1" tint="0.24994659260841701"/>
      <name val="Lucida Sans"/>
      <family val="2"/>
      <scheme val="minor"/>
    </font>
    <font>
      <i/>
      <sz val="11"/>
      <color theme="1" tint="0.34998626667073579"/>
      <name val="Lucida Sans"/>
      <family val="2"/>
      <charset val="238"/>
      <scheme val="minor"/>
    </font>
    <font>
      <sz val="11"/>
      <color theme="1" tint="0.34998626667073579"/>
      <name val="Lucida Sans"/>
      <family val="2"/>
      <charset val="238"/>
      <scheme val="minor"/>
    </font>
    <font>
      <b/>
      <sz val="11"/>
      <color theme="1" tint="0.34998626667073579"/>
      <name val="Lucida Sans"/>
      <family val="2"/>
      <charset val="238"/>
      <scheme val="minor"/>
    </font>
    <font>
      <sz val="35"/>
      <color theme="1"/>
      <name val="Rockwell"/>
      <family val="1"/>
      <scheme val="major"/>
    </font>
    <font>
      <sz val="11"/>
      <color theme="1"/>
      <name val="Rockwell"/>
      <family val="1"/>
      <scheme val="major"/>
    </font>
    <font>
      <b/>
      <sz val="11"/>
      <color theme="1" tint="0.24994659260841701"/>
      <name val="Lucida Sans"/>
      <family val="2"/>
      <charset val="238"/>
      <scheme val="minor"/>
    </font>
    <font>
      <sz val="35"/>
      <color theme="0"/>
      <name val="Rockwell"/>
      <family val="1"/>
      <scheme val="major"/>
    </font>
    <font>
      <sz val="35"/>
      <color theme="0"/>
      <name val="Lucida Sans"/>
      <family val="2"/>
      <scheme val="minor"/>
    </font>
    <font>
      <sz val="11"/>
      <color theme="0"/>
      <name val="Lucida Sans"/>
      <family val="2"/>
      <scheme val="minor"/>
    </font>
    <font>
      <sz val="11"/>
      <color rgb="FF006100"/>
      <name val="Lucida Sans"/>
      <family val="2"/>
      <scheme val="minor"/>
    </font>
    <font>
      <sz val="11"/>
      <color rgb="FF9C0006"/>
      <name val="Lucida Sans"/>
      <family val="2"/>
      <scheme val="minor"/>
    </font>
    <font>
      <sz val="11"/>
      <color rgb="FF9C5700"/>
      <name val="Lucida Sans"/>
      <family val="2"/>
      <scheme val="minor"/>
    </font>
    <font>
      <sz val="11"/>
      <color rgb="FF3F3F76"/>
      <name val="Lucida Sans"/>
      <family val="2"/>
      <scheme val="minor"/>
    </font>
    <font>
      <b/>
      <sz val="11"/>
      <color rgb="FF3F3F3F"/>
      <name val="Lucida Sans"/>
      <family val="2"/>
      <scheme val="minor"/>
    </font>
    <font>
      <b/>
      <sz val="11"/>
      <color rgb="FFFA7D00"/>
      <name val="Lucida Sans"/>
      <family val="2"/>
      <scheme val="minor"/>
    </font>
    <font>
      <sz val="11"/>
      <color rgb="FFFA7D00"/>
      <name val="Lucida Sans"/>
      <family val="2"/>
      <scheme val="minor"/>
    </font>
    <font>
      <sz val="11"/>
      <color rgb="FFFF0000"/>
      <name val="Lucida Sans"/>
      <family val="2"/>
      <scheme val="minor"/>
    </font>
    <font>
      <i/>
      <sz val="11"/>
      <color rgb="FF7F7F7F"/>
      <name val="Lucida Sans"/>
      <family val="2"/>
      <scheme val="minor"/>
    </font>
    <font>
      <b/>
      <sz val="11"/>
      <color theme="1"/>
      <name val="Lucida Sans"/>
      <family val="2"/>
      <scheme val="minor"/>
    </font>
    <font>
      <u/>
      <sz val="11"/>
      <color theme="10"/>
      <name val="Lucida Sans"/>
      <family val="2"/>
      <scheme val="minor"/>
    </font>
    <font>
      <sz val="11"/>
      <color rgb="FF000000"/>
      <name val="Lucida Sans"/>
      <family val="2"/>
      <scheme val="minor"/>
    </font>
    <font>
      <sz val="14"/>
      <color theme="1" tint="0.24994659260841701"/>
      <name val="Lucida Sans"/>
      <family val="2"/>
      <scheme val="minor"/>
    </font>
    <font>
      <sz val="14"/>
      <color theme="1"/>
      <name val="Lucida Sans"/>
      <family val="2"/>
      <scheme val="minor"/>
    </font>
    <font>
      <sz val="8"/>
      <name val="Lucida Sans"/>
      <family val="2"/>
      <scheme val="minor"/>
    </font>
    <font>
      <sz val="12"/>
      <color rgb="FF333333"/>
      <name val="Arial"/>
      <family val="2"/>
    </font>
    <font>
      <sz val="12"/>
      <color theme="1" tint="0.24994659260841701"/>
      <name val="Arial"/>
      <family val="2"/>
    </font>
    <font>
      <sz val="12"/>
      <color theme="1"/>
      <name val="Arial"/>
      <family val="2"/>
    </font>
    <font>
      <u/>
      <sz val="12"/>
      <color theme="10"/>
      <name val="Arial"/>
      <family val="2"/>
    </font>
    <font>
      <sz val="12"/>
      <color rgb="FF000000"/>
      <name val="Arial"/>
      <family val="2"/>
    </font>
    <font>
      <sz val="12"/>
      <color rgb="FF222222"/>
      <name val="Arial"/>
      <family val="2"/>
    </font>
    <font>
      <u/>
      <sz val="12"/>
      <color theme="1"/>
      <name val="Arial"/>
      <family val="2"/>
    </font>
    <font>
      <b/>
      <sz val="11"/>
      <color rgb="FFFF0000"/>
      <name val="Lucida Sans"/>
      <family val="2"/>
      <scheme val="minor"/>
    </font>
  </fonts>
  <fills count="55">
    <fill>
      <patternFill patternType="none"/>
    </fill>
    <fill>
      <patternFill patternType="gray125"/>
    </fill>
    <fill>
      <patternFill patternType="solid">
        <fgColor indexed="9"/>
        <bgColor indexed="64"/>
      </patternFill>
    </fill>
    <fill>
      <patternFill patternType="solid">
        <fgColor theme="4" tint="0.59999389629810485"/>
        <bgColor indexed="65"/>
      </patternFill>
    </fill>
    <fill>
      <patternFill patternType="solid">
        <fgColor theme="4"/>
      </patternFill>
    </fill>
    <fill>
      <patternFill patternType="solid">
        <fgColor theme="8"/>
      </patternFill>
    </fill>
    <fill>
      <patternFill patternType="solid">
        <fgColor theme="2"/>
        <bgColor indexed="64"/>
      </patternFill>
    </fill>
    <fill>
      <patternFill patternType="solid">
        <fgColor theme="0" tint="-4.9989318521683403E-2"/>
        <bgColor indexed="64"/>
      </patternFill>
    </fill>
    <fill>
      <patternFill patternType="solid">
        <fgColor theme="0"/>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tint="0.59999389629810485"/>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7"/>
        <bgColor indexed="64"/>
      </patternFill>
    </fill>
    <fill>
      <patternFill patternType="solid">
        <fgColor theme="8"/>
        <bgColor indexed="64"/>
      </patternFill>
    </fill>
    <fill>
      <patternFill patternType="solid">
        <fgColor theme="8" tint="-0.249977111117893"/>
        <bgColor indexed="64"/>
      </patternFill>
    </fill>
    <fill>
      <patternFill patternType="solid">
        <fgColor theme="9" tint="-0.499984740745262"/>
        <bgColor indexed="64"/>
      </patternFill>
    </fill>
    <fill>
      <patternFill patternType="solid">
        <fgColor theme="9" tint="-0.249977111117893"/>
        <bgColor indexed="64"/>
      </patternFill>
    </fill>
    <fill>
      <patternFill patternType="solid">
        <fgColor theme="6" tint="-0.249977111117893"/>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tint="0.79998168889431442"/>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6" tint="0.79998168889431442"/>
        <bgColor indexed="64"/>
      </patternFill>
    </fill>
    <fill>
      <patternFill patternType="solid">
        <fgColor theme="7" tint="0.39997558519241921"/>
        <bgColor indexed="64"/>
      </patternFill>
    </fill>
    <fill>
      <patternFill patternType="solid">
        <fgColor theme="0" tint="-0.14999847407452621"/>
        <bgColor indexed="64"/>
      </patternFill>
    </fill>
    <fill>
      <patternFill patternType="solid">
        <fgColor rgb="FF00B0F0"/>
        <bgColor indexed="64"/>
      </patternFill>
    </fill>
    <fill>
      <patternFill patternType="solid">
        <fgColor theme="6" tint="0.59999389629810485"/>
        <bgColor indexed="64"/>
      </patternFill>
    </fill>
  </fills>
  <borders count="21">
    <border>
      <left/>
      <right/>
      <top/>
      <bottom/>
      <diagonal/>
    </border>
    <border>
      <left style="thin">
        <color theme="4" tint="0.39994506668294322"/>
      </left>
      <right style="thin">
        <color theme="4" tint="0.39994506668294322"/>
      </right>
      <top style="thin">
        <color theme="4" tint="0.39994506668294322"/>
      </top>
      <bottom style="thin">
        <color theme="4" tint="0.39994506668294322"/>
      </bottom>
      <diagonal/>
    </border>
    <border>
      <left style="thick">
        <color theme="1" tint="0.499984740745262"/>
      </left>
      <right style="thick">
        <color theme="1" tint="0.499984740745262"/>
      </right>
      <top style="thick">
        <color theme="1" tint="0.499984740745262"/>
      </top>
      <bottom style="thick">
        <color theme="1" tint="0.499984740745262"/>
      </bottom>
      <diagonal/>
    </border>
    <border>
      <left/>
      <right/>
      <top/>
      <bottom style="medium">
        <color theme="4" tint="-0.24994659260841701"/>
      </bottom>
      <diagonal/>
    </border>
    <border>
      <left/>
      <right/>
      <top/>
      <bottom style="thin">
        <color theme="1"/>
      </bottom>
      <diagonal/>
    </border>
    <border>
      <left style="thin">
        <color theme="2" tint="-9.9978637043366805E-2"/>
      </left>
      <right/>
      <top style="thin">
        <color theme="2" tint="-9.9978637043366805E-2"/>
      </top>
      <bottom/>
      <diagonal/>
    </border>
    <border>
      <left/>
      <right/>
      <top style="thin">
        <color theme="2" tint="-9.9978637043366805E-2"/>
      </top>
      <bottom/>
      <diagonal/>
    </border>
    <border>
      <left/>
      <right style="thin">
        <color theme="2" tint="-9.9978637043366805E-2"/>
      </right>
      <top style="thin">
        <color theme="2" tint="-9.9978637043366805E-2"/>
      </top>
      <bottom/>
      <diagonal/>
    </border>
    <border>
      <left style="thin">
        <color theme="2" tint="-9.9978637043366805E-2"/>
      </left>
      <right/>
      <top/>
      <bottom style="thin">
        <color theme="2" tint="-9.9978637043366805E-2"/>
      </bottom>
      <diagonal/>
    </border>
    <border>
      <left/>
      <right/>
      <top/>
      <bottom style="thin">
        <color theme="2" tint="-9.9978637043366805E-2"/>
      </bottom>
      <diagonal/>
    </border>
    <border>
      <left/>
      <right style="thin">
        <color theme="2" tint="-9.9978637043366805E-2"/>
      </right>
      <top/>
      <bottom style="thin">
        <color theme="2" tint="-9.9978637043366805E-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54">
    <xf numFmtId="0" fontId="0" fillId="0" borderId="0">
      <alignment vertical="top"/>
    </xf>
    <xf numFmtId="0" fontId="52" fillId="3" borderId="0" applyNumberFormat="0" applyBorder="0" applyAlignment="0" applyProtection="0"/>
    <xf numFmtId="0" fontId="51" fillId="0" borderId="3" applyNumberFormat="0" applyFill="0" applyProtection="0">
      <alignment horizontal="left" vertical="center" indent="1"/>
    </xf>
    <xf numFmtId="0" fontId="47" fillId="4" borderId="1" applyNumberFormat="0" applyAlignment="0" applyProtection="0"/>
    <xf numFmtId="0" fontId="48" fillId="5" borderId="2" applyNumberFormat="0" applyProtection="0">
      <alignment vertical="center"/>
    </xf>
    <xf numFmtId="0" fontId="49" fillId="0" borderId="0" applyFill="0" applyBorder="0" applyProtection="0">
      <alignment vertical="center"/>
    </xf>
    <xf numFmtId="165" fontId="50" fillId="0" borderId="0" applyFont="0" applyFill="0" applyBorder="0" applyAlignment="0" applyProtection="0"/>
    <xf numFmtId="164" fontId="50" fillId="0" borderId="0" applyFont="0" applyFill="0" applyBorder="0" applyAlignment="0" applyProtection="0"/>
    <xf numFmtId="44" fontId="50" fillId="0" borderId="0" applyFont="0" applyFill="0" applyBorder="0" applyAlignment="0" applyProtection="0"/>
    <xf numFmtId="42" fontId="50" fillId="0" borderId="0" applyFont="0" applyFill="0" applyBorder="0" applyAlignment="0" applyProtection="0"/>
    <xf numFmtId="9" fontId="50" fillId="0" borderId="0" applyFont="0" applyFill="0" applyBorder="0" applyAlignment="0" applyProtection="0"/>
    <xf numFmtId="0" fontId="53" fillId="6" borderId="0" applyBorder="0" applyProtection="0">
      <alignment horizontal="left" vertical="top" wrapText="1" indent="1"/>
    </xf>
    <xf numFmtId="0" fontId="51" fillId="0" borderId="0" applyFill="0" applyProtection="0"/>
    <xf numFmtId="0" fontId="54" fillId="0" borderId="0" applyFill="0" applyProtection="0"/>
    <xf numFmtId="0" fontId="58" fillId="2" borderId="0">
      <alignment vertical="center"/>
    </xf>
    <xf numFmtId="0" fontId="59" fillId="0" borderId="4">
      <alignment horizontal="left" vertical="center" indent="1"/>
    </xf>
    <xf numFmtId="166" fontId="53" fillId="7" borderId="0">
      <alignment horizontal="left" wrapText="1" indent="1"/>
    </xf>
    <xf numFmtId="166" fontId="57" fillId="0" borderId="0">
      <alignment horizontal="left" indent="1"/>
    </xf>
    <xf numFmtId="0" fontId="56" fillId="0" borderId="0" applyAlignment="0">
      <alignment horizontal="left"/>
    </xf>
    <xf numFmtId="0" fontId="64" fillId="21" borderId="0" applyNumberFormat="0" applyBorder="0" applyAlignment="0" applyProtection="0"/>
    <xf numFmtId="0" fontId="65" fillId="22" borderId="0" applyNumberFormat="0" applyBorder="0" applyAlignment="0" applyProtection="0"/>
    <xf numFmtId="0" fontId="66" fillId="23" borderId="0" applyNumberFormat="0" applyBorder="0" applyAlignment="0" applyProtection="0"/>
    <xf numFmtId="0" fontId="67" fillId="24" borderId="11" applyNumberFormat="0" applyAlignment="0" applyProtection="0"/>
    <xf numFmtId="0" fontId="68" fillId="25" borderId="12" applyNumberFormat="0" applyAlignment="0" applyProtection="0"/>
    <xf numFmtId="0" fontId="69" fillId="25" borderId="11" applyNumberFormat="0" applyAlignment="0" applyProtection="0"/>
    <xf numFmtId="0" fontId="70" fillId="0" borderId="13" applyNumberFormat="0" applyFill="0" applyAlignment="0" applyProtection="0"/>
    <xf numFmtId="0" fontId="47" fillId="26" borderId="14" applyNumberFormat="0" applyAlignment="0" applyProtection="0"/>
    <xf numFmtId="0" fontId="71" fillId="0" borderId="0" applyNumberFormat="0" applyFill="0" applyBorder="0" applyAlignment="0" applyProtection="0"/>
    <xf numFmtId="0" fontId="54" fillId="27" borderId="15" applyNumberFormat="0" applyFont="0" applyAlignment="0" applyProtection="0"/>
    <xf numFmtId="0" fontId="72" fillId="0" borderId="0" applyNumberFormat="0" applyFill="0" applyBorder="0" applyAlignment="0" applyProtection="0"/>
    <xf numFmtId="0" fontId="73" fillId="0" borderId="16" applyNumberFormat="0" applyFill="0" applyAlignment="0" applyProtection="0"/>
    <xf numFmtId="0" fontId="44" fillId="28" borderId="0" applyNumberFormat="0" applyBorder="0" applyAlignment="0" applyProtection="0"/>
    <xf numFmtId="0" fontId="44" fillId="29" borderId="0" applyNumberFormat="0" applyBorder="0" applyAlignment="0" applyProtection="0"/>
    <xf numFmtId="0" fontId="63" fillId="30" borderId="0" applyNumberFormat="0" applyBorder="0" applyAlignment="0" applyProtection="0"/>
    <xf numFmtId="0" fontId="44" fillId="31" borderId="0" applyNumberFormat="0" applyBorder="0" applyAlignment="0" applyProtection="0"/>
    <xf numFmtId="0" fontId="44" fillId="32" borderId="0" applyNumberFormat="0" applyBorder="0" applyAlignment="0" applyProtection="0"/>
    <xf numFmtId="0" fontId="44" fillId="33" borderId="0" applyNumberFormat="0" applyBorder="0" applyAlignment="0" applyProtection="0"/>
    <xf numFmtId="0" fontId="63" fillId="34" borderId="0" applyNumberFormat="0" applyBorder="0" applyAlignment="0" applyProtection="0"/>
    <xf numFmtId="0" fontId="44" fillId="35" borderId="0" applyNumberFormat="0" applyBorder="0" applyAlignment="0" applyProtection="0"/>
    <xf numFmtId="0" fontId="44" fillId="36" borderId="0" applyNumberFormat="0" applyBorder="0" applyAlignment="0" applyProtection="0"/>
    <xf numFmtId="0" fontId="44" fillId="37" borderId="0" applyNumberFormat="0" applyBorder="0" applyAlignment="0" applyProtection="0"/>
    <xf numFmtId="0" fontId="63" fillId="38" borderId="0" applyNumberFormat="0" applyBorder="0" applyAlignment="0" applyProtection="0"/>
    <xf numFmtId="0" fontId="44" fillId="39" borderId="0" applyNumberFormat="0" applyBorder="0" applyAlignment="0" applyProtection="0"/>
    <xf numFmtId="0" fontId="44" fillId="40" borderId="0" applyNumberFormat="0" applyBorder="0" applyAlignment="0" applyProtection="0"/>
    <xf numFmtId="0" fontId="44" fillId="41" borderId="0" applyNumberFormat="0" applyBorder="0" applyAlignment="0" applyProtection="0"/>
    <xf numFmtId="0" fontId="44" fillId="42" borderId="0" applyNumberFormat="0" applyBorder="0" applyAlignment="0" applyProtection="0"/>
    <xf numFmtId="0" fontId="44" fillId="43" borderId="0" applyNumberFormat="0" applyBorder="0" applyAlignment="0" applyProtection="0"/>
    <xf numFmtId="0" fontId="44" fillId="44" borderId="0" applyNumberFormat="0" applyBorder="0" applyAlignment="0" applyProtection="0"/>
    <xf numFmtId="0" fontId="63" fillId="45" borderId="0" applyNumberFormat="0" applyBorder="0" applyAlignment="0" applyProtection="0"/>
    <xf numFmtId="0" fontId="44" fillId="46" borderId="0" applyNumberFormat="0" applyBorder="0" applyAlignment="0" applyProtection="0"/>
    <xf numFmtId="0" fontId="44" fillId="47" borderId="0" applyNumberFormat="0" applyBorder="0" applyAlignment="0" applyProtection="0"/>
    <xf numFmtId="0" fontId="44" fillId="48" borderId="0" applyNumberFormat="0" applyBorder="0" applyAlignment="0" applyProtection="0"/>
    <xf numFmtId="0" fontId="43" fillId="0" borderId="0"/>
    <xf numFmtId="0" fontId="74" fillId="0" borderId="0" applyNumberFormat="0" applyFill="0" applyBorder="0" applyAlignment="0" applyProtection="0"/>
  </cellStyleXfs>
  <cellXfs count="289">
    <xf numFmtId="0" fontId="0" fillId="0" borderId="0" xfId="0">
      <alignment vertical="top"/>
    </xf>
    <xf numFmtId="0" fontId="0" fillId="2" borderId="0" xfId="0" applyFill="1">
      <alignment vertical="top"/>
    </xf>
    <xf numFmtId="0" fontId="46" fillId="0" borderId="0" xfId="0" applyFont="1">
      <alignment vertical="top"/>
    </xf>
    <xf numFmtId="0" fontId="0" fillId="0" borderId="0" xfId="0" applyAlignment="1">
      <alignment horizontal="left" indent="1"/>
    </xf>
    <xf numFmtId="0" fontId="0" fillId="2" borderId="0" xfId="0" applyFill="1" applyAlignment="1">
      <alignment horizontal="right"/>
    </xf>
    <xf numFmtId="0" fontId="59" fillId="0" borderId="4" xfId="15">
      <alignment horizontal="left" vertical="center" indent="1"/>
    </xf>
    <xf numFmtId="0" fontId="60" fillId="0" borderId="0" xfId="13" applyFont="1" applyAlignment="1">
      <alignment horizontal="right"/>
    </xf>
    <xf numFmtId="0" fontId="53" fillId="8" borderId="8" xfId="11" applyFill="1" applyBorder="1" applyAlignment="1">
      <alignment vertical="top" wrapText="1"/>
    </xf>
    <xf numFmtId="0" fontId="56" fillId="0" borderId="0" xfId="18" applyAlignment="1">
      <alignment horizontal="left"/>
    </xf>
    <xf numFmtId="0" fontId="60" fillId="0" borderId="0" xfId="13" applyFont="1" applyAlignment="1">
      <alignment horizontal="right" vertical="top"/>
    </xf>
    <xf numFmtId="0" fontId="56" fillId="0" borderId="0" xfId="18" applyAlignment="1">
      <alignment horizontal="left" vertical="top"/>
    </xf>
    <xf numFmtId="0" fontId="49" fillId="9" borderId="0" xfId="5" applyFill="1" applyBorder="1" applyAlignment="1">
      <alignment horizontal="left" vertical="center"/>
    </xf>
    <xf numFmtId="0" fontId="51" fillId="9" borderId="0" xfId="2" applyFill="1" applyBorder="1" applyAlignment="1">
      <alignment vertical="center"/>
    </xf>
    <xf numFmtId="0" fontId="58" fillId="11" borderId="0" xfId="14" applyFill="1">
      <alignment vertical="center"/>
    </xf>
    <xf numFmtId="0" fontId="49" fillId="11" borderId="0" xfId="5" applyFill="1" applyBorder="1" applyAlignment="1">
      <alignment horizontal="left" vertical="center"/>
    </xf>
    <xf numFmtId="0" fontId="51" fillId="11" borderId="0" xfId="2" applyFill="1" applyBorder="1" applyAlignment="1">
      <alignment vertical="center"/>
    </xf>
    <xf numFmtId="0" fontId="49" fillId="11" borderId="0" xfId="5" applyFill="1" applyAlignment="1">
      <alignment horizontal="left" vertical="center"/>
    </xf>
    <xf numFmtId="0" fontId="58" fillId="12" borderId="0" xfId="14" applyFill="1">
      <alignment vertical="center"/>
    </xf>
    <xf numFmtId="0" fontId="49" fillId="12" borderId="0" xfId="5" applyFill="1" applyBorder="1" applyAlignment="1">
      <alignment horizontal="left" vertical="center"/>
    </xf>
    <xf numFmtId="0" fontId="51" fillId="12" borderId="0" xfId="2" applyFill="1" applyBorder="1" applyAlignment="1">
      <alignment vertical="center"/>
    </xf>
    <xf numFmtId="0" fontId="49" fillId="12" borderId="0" xfId="5" applyFill="1" applyBorder="1" applyAlignment="1">
      <alignment horizontal="right" vertical="center"/>
    </xf>
    <xf numFmtId="0" fontId="58" fillId="13" borderId="0" xfId="14" applyFill="1">
      <alignment vertical="center"/>
    </xf>
    <xf numFmtId="0" fontId="49" fillId="13" borderId="0" xfId="5" applyFill="1" applyBorder="1" applyAlignment="1">
      <alignment horizontal="left" vertical="center"/>
    </xf>
    <xf numFmtId="0" fontId="51" fillId="13" borderId="0" xfId="2" applyFill="1" applyBorder="1" applyAlignment="1">
      <alignment vertical="center"/>
    </xf>
    <xf numFmtId="0" fontId="49" fillId="13" borderId="0" xfId="5" applyFill="1" applyBorder="1" applyAlignment="1">
      <alignment horizontal="right" vertical="center"/>
    </xf>
    <xf numFmtId="0" fontId="58" fillId="9" borderId="0" xfId="14" applyFill="1">
      <alignment vertical="center"/>
    </xf>
    <xf numFmtId="0" fontId="49" fillId="9" borderId="0" xfId="5" applyFill="1" applyBorder="1" applyAlignment="1">
      <alignment horizontal="right" vertical="center"/>
    </xf>
    <xf numFmtId="0" fontId="58" fillId="14" borderId="0" xfId="14" applyFill="1">
      <alignment vertical="center"/>
    </xf>
    <xf numFmtId="0" fontId="49" fillId="14" borderId="0" xfId="5" applyFill="1" applyBorder="1" applyAlignment="1">
      <alignment horizontal="left" vertical="center"/>
    </xf>
    <xf numFmtId="0" fontId="51" fillId="14" borderId="0" xfId="2" applyFill="1" applyBorder="1" applyAlignment="1">
      <alignment vertical="center"/>
    </xf>
    <xf numFmtId="0" fontId="49" fillId="14" borderId="0" xfId="5" applyFill="1" applyBorder="1" applyAlignment="1">
      <alignment horizontal="right" vertical="center"/>
    </xf>
    <xf numFmtId="0" fontId="61" fillId="10" borderId="0" xfId="14" applyFont="1" applyFill="1">
      <alignment vertical="center"/>
    </xf>
    <xf numFmtId="0" fontId="62" fillId="10" borderId="0" xfId="5" applyFont="1" applyFill="1" applyBorder="1" applyAlignment="1">
      <alignment horizontal="left" vertical="center"/>
    </xf>
    <xf numFmtId="0" fontId="63" fillId="10" borderId="0" xfId="2" applyFont="1" applyFill="1" applyBorder="1" applyAlignment="1">
      <alignment vertical="center"/>
    </xf>
    <xf numFmtId="0" fontId="62" fillId="10" borderId="0" xfId="5" applyFont="1" applyFill="1" applyBorder="1" applyAlignment="1">
      <alignment horizontal="right" vertical="center"/>
    </xf>
    <xf numFmtId="0" fontId="58" fillId="15" borderId="0" xfId="14" applyFill="1">
      <alignment vertical="center"/>
    </xf>
    <xf numFmtId="0" fontId="49" fillId="15" borderId="0" xfId="5" applyFill="1" applyBorder="1" applyAlignment="1">
      <alignment horizontal="left" vertical="center"/>
    </xf>
    <xf numFmtId="0" fontId="51" fillId="15" borderId="0" xfId="2" applyFill="1" applyBorder="1" applyAlignment="1">
      <alignment vertical="center"/>
    </xf>
    <xf numFmtId="0" fontId="49" fillId="15" borderId="0" xfId="5" applyFill="1" applyBorder="1" applyAlignment="1">
      <alignment horizontal="right" vertical="center"/>
    </xf>
    <xf numFmtId="0" fontId="58" fillId="16" borderId="0" xfId="14" applyFill="1">
      <alignment vertical="center"/>
    </xf>
    <xf numFmtId="0" fontId="49" fillId="16" borderId="0" xfId="5" applyFill="1" applyBorder="1" applyAlignment="1">
      <alignment horizontal="left" vertical="center"/>
    </xf>
    <xf numFmtId="0" fontId="51" fillId="16" borderId="0" xfId="2" applyFill="1" applyBorder="1" applyAlignment="1">
      <alignment vertical="center"/>
    </xf>
    <xf numFmtId="0" fontId="49" fillId="16" borderId="0" xfId="5" applyFill="1" applyBorder="1" applyAlignment="1">
      <alignment horizontal="right" vertical="center"/>
    </xf>
    <xf numFmtId="0" fontId="58" fillId="17" borderId="0" xfId="14" applyFill="1">
      <alignment vertical="center"/>
    </xf>
    <xf numFmtId="0" fontId="49" fillId="17" borderId="0" xfId="5" applyFill="1" applyBorder="1" applyAlignment="1">
      <alignment horizontal="left" vertical="center"/>
    </xf>
    <xf numFmtId="0" fontId="51" fillId="17" borderId="0" xfId="2" applyFill="1" applyBorder="1" applyAlignment="1">
      <alignment vertical="center"/>
    </xf>
    <xf numFmtId="0" fontId="49" fillId="17" borderId="0" xfId="5" applyFill="1" applyBorder="1" applyAlignment="1">
      <alignment horizontal="right" vertical="center"/>
    </xf>
    <xf numFmtId="0" fontId="49" fillId="18" borderId="0" xfId="5" applyFill="1" applyBorder="1" applyAlignment="1">
      <alignment horizontal="left" vertical="center"/>
    </xf>
    <xf numFmtId="0" fontId="51" fillId="18" borderId="0" xfId="2" applyFill="1" applyBorder="1" applyAlignment="1">
      <alignment vertical="center"/>
    </xf>
    <xf numFmtId="0" fontId="49" fillId="18" borderId="0" xfId="5" applyFill="1" applyBorder="1" applyAlignment="1">
      <alignment horizontal="right" vertical="center"/>
    </xf>
    <xf numFmtId="0" fontId="49" fillId="19" borderId="0" xfId="5" applyFill="1" applyBorder="1" applyAlignment="1">
      <alignment horizontal="left" vertical="center"/>
    </xf>
    <xf numFmtId="0" fontId="51" fillId="19" borderId="0" xfId="2" applyFill="1" applyBorder="1" applyAlignment="1">
      <alignment vertical="center"/>
    </xf>
    <xf numFmtId="0" fontId="49" fillId="19" borderId="0" xfId="5" applyFill="1" applyBorder="1" applyAlignment="1">
      <alignment horizontal="right" vertical="center"/>
    </xf>
    <xf numFmtId="0" fontId="61" fillId="18" borderId="0" xfId="14" applyFont="1" applyFill="1">
      <alignment vertical="center"/>
    </xf>
    <xf numFmtId="0" fontId="58" fillId="20" borderId="0" xfId="14" applyFill="1">
      <alignment vertical="center"/>
    </xf>
    <xf numFmtId="0" fontId="49" fillId="20" borderId="0" xfId="5" applyFill="1" applyBorder="1" applyAlignment="1">
      <alignment horizontal="left" vertical="center"/>
    </xf>
    <xf numFmtId="0" fontId="51" fillId="20" borderId="0" xfId="2" applyFill="1" applyBorder="1" applyAlignment="1">
      <alignment vertical="center"/>
    </xf>
    <xf numFmtId="0" fontId="49" fillId="20" borderId="0" xfId="5" applyFill="1" applyBorder="1" applyAlignment="1">
      <alignment horizontal="right" vertical="center"/>
    </xf>
    <xf numFmtId="0" fontId="61" fillId="19" borderId="0" xfId="14" applyFont="1" applyFill="1">
      <alignment vertical="center"/>
    </xf>
    <xf numFmtId="166" fontId="57" fillId="0" borderId="0" xfId="17">
      <alignment horizontal="left" indent="1"/>
    </xf>
    <xf numFmtId="166" fontId="53" fillId="7" borderId="0" xfId="16">
      <alignment horizontal="left" wrapText="1" indent="1"/>
    </xf>
    <xf numFmtId="166" fontId="57" fillId="7" borderId="0" xfId="16" applyFont="1">
      <alignment horizontal="left" wrapText="1" indent="1"/>
    </xf>
    <xf numFmtId="166" fontId="0" fillId="0" borderId="0" xfId="0" applyNumberFormat="1">
      <alignment vertical="top"/>
    </xf>
    <xf numFmtId="166" fontId="55" fillId="8" borderId="5" xfId="0" applyNumberFormat="1" applyFont="1" applyFill="1" applyBorder="1" applyAlignment="1">
      <alignment horizontal="left" indent="1"/>
    </xf>
    <xf numFmtId="166" fontId="53" fillId="7" borderId="0" xfId="16" applyAlignment="1">
      <alignment horizontal="left" vertical="center" wrapText="1"/>
    </xf>
    <xf numFmtId="166" fontId="57" fillId="0" borderId="0" xfId="17" applyAlignment="1">
      <alignment horizontal="left" vertical="center" wrapText="1"/>
    </xf>
    <xf numFmtId="0" fontId="43" fillId="0" borderId="0" xfId="52" applyAlignment="1">
      <alignment horizontal="center" vertical="center"/>
    </xf>
    <xf numFmtId="0" fontId="43" fillId="0" borderId="0" xfId="52"/>
    <xf numFmtId="0" fontId="74" fillId="0" borderId="0" xfId="53" applyAlignment="1">
      <alignment horizontal="center" vertical="center"/>
    </xf>
    <xf numFmtId="0" fontId="43" fillId="0" borderId="0" xfId="0" applyFont="1" applyAlignment="1"/>
    <xf numFmtId="0" fontId="76" fillId="0" borderId="0" xfId="0" applyFont="1">
      <alignment vertical="top"/>
    </xf>
    <xf numFmtId="0" fontId="77" fillId="0" borderId="0" xfId="52" applyFont="1" applyAlignment="1">
      <alignment horizontal="center" vertical="center"/>
    </xf>
    <xf numFmtId="0" fontId="77" fillId="0" borderId="0" xfId="52" applyFont="1"/>
    <xf numFmtId="0" fontId="42" fillId="0" borderId="0" xfId="0" applyFont="1" applyAlignment="1"/>
    <xf numFmtId="0" fontId="0" fillId="8" borderId="0" xfId="0" applyFill="1">
      <alignment vertical="top"/>
    </xf>
    <xf numFmtId="166" fontId="53" fillId="50" borderId="0" xfId="16" applyFill="1">
      <alignment horizontal="left" wrapText="1" indent="1"/>
    </xf>
    <xf numFmtId="0" fontId="41" fillId="0" borderId="0" xfId="0" applyFont="1" applyAlignment="1"/>
    <xf numFmtId="0" fontId="0" fillId="51" borderId="0" xfId="0" applyFill="1">
      <alignment vertical="top"/>
    </xf>
    <xf numFmtId="0" fontId="41" fillId="51" borderId="0" xfId="0" applyFont="1" applyFill="1" applyAlignment="1"/>
    <xf numFmtId="166" fontId="57" fillId="50" borderId="0" xfId="17" applyFill="1">
      <alignment horizontal="left" indent="1"/>
    </xf>
    <xf numFmtId="166" fontId="53" fillId="7" borderId="0" xfId="16" applyAlignment="1">
      <alignment horizontal="center" vertical="center" wrapText="1"/>
    </xf>
    <xf numFmtId="0" fontId="0" fillId="49" borderId="0" xfId="0" applyFill="1">
      <alignment vertical="top"/>
    </xf>
    <xf numFmtId="166" fontId="57" fillId="0" borderId="0" xfId="17" applyAlignment="1">
      <alignment horizontal="center" vertical="center"/>
    </xf>
    <xf numFmtId="166" fontId="57" fillId="0" borderId="0" xfId="17" applyAlignment="1">
      <alignment horizontal="center" vertical="center" wrapText="1"/>
    </xf>
    <xf numFmtId="0" fontId="39" fillId="0" borderId="0" xfId="52" applyFont="1"/>
    <xf numFmtId="0" fontId="39" fillId="0" borderId="0" xfId="0" applyFont="1" applyAlignment="1"/>
    <xf numFmtId="166" fontId="53" fillId="52" borderId="0" xfId="16" applyFill="1">
      <alignment horizontal="left" wrapText="1" indent="1"/>
    </xf>
    <xf numFmtId="166" fontId="57" fillId="52" borderId="0" xfId="17" applyFill="1">
      <alignment horizontal="left" indent="1"/>
    </xf>
    <xf numFmtId="0" fontId="75" fillId="0" borderId="0" xfId="0" applyFont="1" applyAlignment="1">
      <alignment horizontal="left" vertical="top" wrapText="1"/>
    </xf>
    <xf numFmtId="166" fontId="53" fillId="0" borderId="0" xfId="17" applyFont="1" applyAlignment="1">
      <alignment horizontal="center" vertical="center" wrapText="1"/>
    </xf>
    <xf numFmtId="166" fontId="57" fillId="0" borderId="0" xfId="17" applyAlignment="1">
      <alignment horizontal="left" vertical="center" wrapText="1" indent="1"/>
    </xf>
    <xf numFmtId="166" fontId="53" fillId="7" borderId="0" xfId="16" applyAlignment="1">
      <alignment horizontal="left" vertical="center" wrapText="1" indent="1"/>
    </xf>
    <xf numFmtId="166" fontId="57" fillId="7" borderId="0" xfId="16" applyFont="1" applyAlignment="1">
      <alignment horizontal="center" vertical="center" wrapText="1"/>
    </xf>
    <xf numFmtId="166" fontId="57" fillId="0" borderId="0" xfId="17" applyAlignment="1">
      <alignment horizontal="left"/>
    </xf>
    <xf numFmtId="166" fontId="57" fillId="50" borderId="0" xfId="16" applyFont="1" applyFill="1" applyAlignment="1">
      <alignment horizontal="center" vertical="center" wrapText="1"/>
    </xf>
    <xf numFmtId="166" fontId="57" fillId="50" borderId="0" xfId="16" applyFont="1" applyFill="1">
      <alignment horizontal="left" wrapText="1" indent="1"/>
    </xf>
    <xf numFmtId="166" fontId="57" fillId="50" borderId="0" xfId="17" applyFill="1" applyAlignment="1">
      <alignment horizontal="center" vertical="center"/>
    </xf>
    <xf numFmtId="166" fontId="53" fillId="50" borderId="0" xfId="16" applyFill="1" applyAlignment="1">
      <alignment horizontal="center" vertical="center" wrapText="1"/>
    </xf>
    <xf numFmtId="0" fontId="38" fillId="0" borderId="0" xfId="0" applyFont="1" applyAlignment="1"/>
    <xf numFmtId="0" fontId="37" fillId="0" borderId="0" xfId="52" applyFont="1" applyAlignment="1">
      <alignment horizontal="center" vertical="center"/>
    </xf>
    <xf numFmtId="0" fontId="37" fillId="0" borderId="0" xfId="0" applyFont="1" applyAlignment="1"/>
    <xf numFmtId="166" fontId="57" fillId="0" borderId="0" xfId="17" applyAlignment="1">
      <alignment horizontal="left" wrapText="1" indent="1"/>
    </xf>
    <xf numFmtId="0" fontId="37" fillId="0" borderId="0" xfId="52" applyFont="1"/>
    <xf numFmtId="0" fontId="36" fillId="0" borderId="0" xfId="52" applyFont="1" applyAlignment="1">
      <alignment horizontal="center" vertical="center"/>
    </xf>
    <xf numFmtId="0" fontId="35" fillId="0" borderId="0" xfId="52" applyFont="1" applyAlignment="1">
      <alignment horizontal="center" vertical="center"/>
    </xf>
    <xf numFmtId="166" fontId="53" fillId="0" borderId="0" xfId="16" applyFill="1">
      <alignment horizontal="left" wrapText="1" indent="1"/>
    </xf>
    <xf numFmtId="0" fontId="0" fillId="0" borderId="0" xfId="0" applyAlignment="1">
      <alignment vertical="top" wrapText="1"/>
    </xf>
    <xf numFmtId="0" fontId="43" fillId="0" borderId="0" xfId="52" applyAlignment="1">
      <alignment horizontal="center" vertical="center" wrapText="1"/>
    </xf>
    <xf numFmtId="0" fontId="33" fillId="0" borderId="0" xfId="0" applyFont="1" applyAlignment="1"/>
    <xf numFmtId="0" fontId="43" fillId="0" borderId="0" xfId="52" applyAlignment="1">
      <alignment horizontal="right"/>
    </xf>
    <xf numFmtId="0" fontId="43" fillId="0" borderId="0" xfId="52" applyAlignment="1">
      <alignment horizontal="left"/>
    </xf>
    <xf numFmtId="0" fontId="0" fillId="49" borderId="0" xfId="0" applyFill="1" applyAlignment="1">
      <alignment horizontal="right"/>
    </xf>
    <xf numFmtId="0" fontId="32" fillId="0" borderId="0" xfId="0" applyFont="1" applyAlignment="1"/>
    <xf numFmtId="0" fontId="31" fillId="0" borderId="0" xfId="52" applyFont="1"/>
    <xf numFmtId="0" fontId="30" fillId="0" borderId="0" xfId="52" applyFont="1" applyAlignment="1">
      <alignment horizontal="center" vertical="center"/>
    </xf>
    <xf numFmtId="166" fontId="0" fillId="50" borderId="0" xfId="0" applyNumberFormat="1" applyFill="1">
      <alignment vertical="top"/>
    </xf>
    <xf numFmtId="166" fontId="53" fillId="7" borderId="0" xfId="16" applyAlignment="1">
      <alignment horizontal="left" vertical="top" wrapText="1"/>
    </xf>
    <xf numFmtId="166" fontId="57" fillId="0" borderId="0" xfId="17" applyAlignment="1">
      <alignment horizontal="left" vertical="top" wrapText="1"/>
    </xf>
    <xf numFmtId="166" fontId="53" fillId="0" borderId="0" xfId="17" applyFont="1" applyAlignment="1">
      <alignment horizontal="left" vertical="top" wrapText="1"/>
    </xf>
    <xf numFmtId="166" fontId="0" fillId="50" borderId="0" xfId="0" applyNumberFormat="1" applyFill="1" applyAlignment="1">
      <alignment horizontal="center" vertical="center"/>
    </xf>
    <xf numFmtId="166" fontId="0" fillId="0" borderId="0" xfId="0" applyNumberFormat="1" applyAlignment="1">
      <alignment horizontal="center" vertical="center"/>
    </xf>
    <xf numFmtId="0" fontId="29" fillId="0" borderId="0" xfId="0" applyFont="1" applyAlignment="1"/>
    <xf numFmtId="0" fontId="29" fillId="0" borderId="0" xfId="52" applyFont="1"/>
    <xf numFmtId="0" fontId="28" fillId="0" borderId="0" xfId="52" applyFont="1"/>
    <xf numFmtId="166" fontId="57" fillId="0" borderId="0" xfId="17" applyAlignment="1">
      <alignment horizontal="left" vertical="center" indent="1"/>
    </xf>
    <xf numFmtId="166" fontId="57" fillId="50" borderId="0" xfId="17" applyFill="1" applyAlignment="1">
      <alignment horizontal="left" vertical="top" wrapText="1"/>
    </xf>
    <xf numFmtId="166" fontId="57" fillId="50" borderId="0" xfId="17" applyFill="1" applyAlignment="1">
      <alignment horizontal="left" vertical="center" indent="1"/>
    </xf>
    <xf numFmtId="166" fontId="53" fillId="50" borderId="0" xfId="16" applyFill="1" applyAlignment="1">
      <alignment horizontal="left" vertical="center" wrapText="1" indent="1"/>
    </xf>
    <xf numFmtId="0" fontId="27" fillId="0" borderId="0" xfId="52" applyFont="1"/>
    <xf numFmtId="0" fontId="26" fillId="0" borderId="0" xfId="52" applyFont="1"/>
    <xf numFmtId="166" fontId="53" fillId="11" borderId="0" xfId="16" applyFill="1">
      <alignment horizontal="left" wrapText="1" indent="1"/>
    </xf>
    <xf numFmtId="166" fontId="57" fillId="11" borderId="0" xfId="17" applyFill="1">
      <alignment horizontal="left" indent="1"/>
    </xf>
    <xf numFmtId="0" fontId="0" fillId="53" borderId="0" xfId="0" applyFill="1">
      <alignment vertical="top"/>
    </xf>
    <xf numFmtId="166" fontId="53" fillId="53" borderId="0" xfId="16" applyFill="1">
      <alignment horizontal="left" wrapText="1" indent="1"/>
    </xf>
    <xf numFmtId="166" fontId="57" fillId="53" borderId="0" xfId="17" applyFill="1">
      <alignment horizontal="left" indent="1"/>
    </xf>
    <xf numFmtId="0" fontId="25" fillId="0" borderId="0" xfId="0" applyFont="1" applyAlignment="1"/>
    <xf numFmtId="0" fontId="25" fillId="0" borderId="0" xfId="52" applyFont="1"/>
    <xf numFmtId="166" fontId="57" fillId="53" borderId="0" xfId="17" applyFill="1" applyAlignment="1">
      <alignment horizontal="left" vertical="center" indent="1"/>
    </xf>
    <xf numFmtId="0" fontId="24" fillId="0" borderId="0" xfId="0" applyFont="1" applyAlignment="1"/>
    <xf numFmtId="0" fontId="0" fillId="0" borderId="0" xfId="0" applyAlignment="1">
      <alignment horizontal="center" vertical="top"/>
    </xf>
    <xf numFmtId="0" fontId="23" fillId="0" borderId="0" xfId="52" applyFont="1"/>
    <xf numFmtId="0" fontId="23" fillId="0" borderId="0" xfId="0" applyFont="1" applyAlignment="1"/>
    <xf numFmtId="166" fontId="57" fillId="54" borderId="0" xfId="17" applyFill="1">
      <alignment horizontal="left" indent="1"/>
    </xf>
    <xf numFmtId="0" fontId="0" fillId="50" borderId="0" xfId="0" applyFill="1">
      <alignment vertical="top"/>
    </xf>
    <xf numFmtId="166" fontId="57" fillId="50" borderId="0" xfId="17" applyFill="1" applyAlignment="1">
      <alignment horizontal="center" vertical="center" wrapText="1"/>
    </xf>
    <xf numFmtId="166" fontId="57" fillId="50" borderId="0" xfId="17" applyFill="1" applyAlignment="1">
      <alignment horizontal="left" vertical="center" wrapText="1"/>
    </xf>
    <xf numFmtId="166" fontId="53" fillId="50" borderId="0" xfId="16" applyFill="1" applyAlignment="1">
      <alignment horizontal="left" vertical="center" wrapText="1"/>
    </xf>
    <xf numFmtId="166" fontId="53" fillId="0" borderId="0" xfId="16" applyFill="1" applyAlignment="1">
      <alignment horizontal="left" vertical="center" wrapText="1"/>
    </xf>
    <xf numFmtId="166" fontId="57" fillId="0" borderId="0" xfId="17" applyAlignment="1">
      <alignment horizontal="left" wrapText="1"/>
    </xf>
    <xf numFmtId="166" fontId="53" fillId="7" borderId="0" xfId="16" applyAlignment="1">
      <alignment horizontal="left" wrapText="1"/>
    </xf>
    <xf numFmtId="0" fontId="22" fillId="0" borderId="0" xfId="52" applyFont="1"/>
    <xf numFmtId="166" fontId="53" fillId="7" borderId="0" xfId="16" applyAlignment="1">
      <alignment horizontal="center" wrapText="1"/>
    </xf>
    <xf numFmtId="0" fontId="21" fillId="0" borderId="0" xfId="52" applyFont="1"/>
    <xf numFmtId="0" fontId="20" fillId="0" borderId="0" xfId="52" applyFont="1"/>
    <xf numFmtId="0" fontId="75" fillId="0" borderId="0" xfId="0" applyFont="1" applyAlignment="1">
      <alignment horizontal="right" vertical="top" wrapText="1"/>
    </xf>
    <xf numFmtId="166" fontId="55" fillId="8" borderId="5" xfId="0" applyNumberFormat="1" applyFont="1" applyFill="1" applyBorder="1" applyAlignment="1">
      <alignment horizontal="center" vertical="center"/>
    </xf>
    <xf numFmtId="0" fontId="53" fillId="8" borderId="8" xfId="11" applyFill="1" applyBorder="1" applyAlignment="1">
      <alignment horizontal="center" vertical="center" wrapText="1"/>
    </xf>
    <xf numFmtId="0" fontId="81" fillId="0" borderId="0" xfId="52" applyFont="1" applyAlignment="1">
      <alignment horizontal="right" vertical="center"/>
    </xf>
    <xf numFmtId="0" fontId="18" fillId="0" borderId="0" xfId="0" applyFont="1">
      <alignment vertical="top"/>
    </xf>
    <xf numFmtId="0" fontId="18" fillId="0" borderId="0" xfId="52" applyFont="1" applyAlignment="1">
      <alignment horizontal="center" vertical="center"/>
    </xf>
    <xf numFmtId="0" fontId="81" fillId="0" borderId="0" xfId="0" applyFont="1">
      <alignment vertical="top"/>
    </xf>
    <xf numFmtId="0" fontId="85" fillId="0" borderId="0" xfId="53" applyFont="1" applyFill="1" applyAlignment="1">
      <alignment horizontal="right" vertical="center"/>
    </xf>
    <xf numFmtId="0" fontId="81" fillId="0" borderId="0" xfId="0" applyFont="1" applyAlignment="1">
      <alignment horizontal="right" vertical="top"/>
    </xf>
    <xf numFmtId="0" fontId="85" fillId="0" borderId="0" xfId="53" applyFont="1" applyFill="1" applyAlignment="1">
      <alignment horizontal="center" vertical="center"/>
    </xf>
    <xf numFmtId="0" fontId="18" fillId="0" borderId="0" xfId="52" applyFont="1"/>
    <xf numFmtId="0" fontId="17" fillId="0" borderId="0" xfId="52" applyFont="1"/>
    <xf numFmtId="0" fontId="16" fillId="0" borderId="0" xfId="52" applyFont="1"/>
    <xf numFmtId="0" fontId="84" fillId="0" borderId="0" xfId="0" applyFont="1" applyAlignment="1">
      <alignment horizontal="right" vertical="top"/>
    </xf>
    <xf numFmtId="0" fontId="15" fillId="0" borderId="0" xfId="52" applyFont="1"/>
    <xf numFmtId="0" fontId="14" fillId="0" borderId="0" xfId="52" applyFont="1"/>
    <xf numFmtId="0" fontId="18" fillId="0" borderId="0" xfId="0" applyFont="1" applyAlignment="1">
      <alignment horizontal="right" vertical="top" wrapText="1"/>
    </xf>
    <xf numFmtId="0" fontId="13" fillId="0" borderId="0" xfId="52" applyFont="1"/>
    <xf numFmtId="0" fontId="13" fillId="0" borderId="0" xfId="0" applyFont="1" applyAlignment="1">
      <alignment horizontal="right" vertical="top" wrapText="1"/>
    </xf>
    <xf numFmtId="0" fontId="12" fillId="0" borderId="0" xfId="52" applyFont="1"/>
    <xf numFmtId="0" fontId="11" fillId="0" borderId="0" xfId="52" applyFont="1"/>
    <xf numFmtId="0" fontId="81" fillId="0" borderId="17" xfId="0" applyFont="1" applyBorder="1">
      <alignment vertical="top"/>
    </xf>
    <xf numFmtId="0" fontId="85" fillId="0" borderId="17" xfId="53" applyFont="1" applyFill="1" applyBorder="1" applyAlignment="1">
      <alignment horizontal="center" vertical="center"/>
    </xf>
    <xf numFmtId="0" fontId="21" fillId="0" borderId="17" xfId="52" applyFont="1" applyBorder="1"/>
    <xf numFmtId="0" fontId="43" fillId="0" borderId="17" xfId="52" applyBorder="1"/>
    <xf numFmtId="0" fontId="0" fillId="0" borderId="17" xfId="0" applyBorder="1">
      <alignment vertical="top"/>
    </xf>
    <xf numFmtId="0" fontId="0" fillId="49" borderId="17" xfId="0" applyFill="1" applyBorder="1">
      <alignment vertical="top"/>
    </xf>
    <xf numFmtId="0" fontId="43" fillId="0" borderId="18" xfId="52" applyBorder="1"/>
    <xf numFmtId="0" fontId="22" fillId="0" borderId="18" xfId="52" applyFont="1" applyBorder="1"/>
    <xf numFmtId="0" fontId="21" fillId="0" borderId="18" xfId="52" applyFont="1" applyBorder="1"/>
    <xf numFmtId="0" fontId="18" fillId="0" borderId="18" xfId="52" applyFont="1" applyBorder="1"/>
    <xf numFmtId="0" fontId="17" fillId="0" borderId="18" xfId="52" applyFont="1" applyBorder="1"/>
    <xf numFmtId="0" fontId="16" fillId="0" borderId="18" xfId="52" applyFont="1" applyBorder="1"/>
    <xf numFmtId="0" fontId="20" fillId="0" borderId="18" xfId="52" applyFont="1" applyBorder="1"/>
    <xf numFmtId="0" fontId="13" fillId="0" borderId="18" xfId="52" applyFont="1" applyBorder="1"/>
    <xf numFmtId="0" fontId="11" fillId="0" borderId="18" xfId="52" applyFont="1" applyBorder="1"/>
    <xf numFmtId="0" fontId="0" fillId="0" borderId="18" xfId="0" applyBorder="1">
      <alignment vertical="top"/>
    </xf>
    <xf numFmtId="0" fontId="0" fillId="49" borderId="18" xfId="0" applyFill="1" applyBorder="1">
      <alignment vertical="top"/>
    </xf>
    <xf numFmtId="0" fontId="81" fillId="0" borderId="18" xfId="0" applyFont="1" applyBorder="1">
      <alignment vertical="top"/>
    </xf>
    <xf numFmtId="0" fontId="81" fillId="0" borderId="18" xfId="52" applyFont="1" applyBorder="1" applyAlignment="1">
      <alignment horizontal="right" vertical="center"/>
    </xf>
    <xf numFmtId="0" fontId="85" fillId="0" borderId="18" xfId="53" applyFont="1" applyFill="1" applyBorder="1" applyAlignment="1">
      <alignment horizontal="right" vertical="center"/>
    </xf>
    <xf numFmtId="0" fontId="81" fillId="0" borderId="18" xfId="0" applyFont="1" applyBorder="1" applyAlignment="1">
      <alignment horizontal="right" vertical="top"/>
    </xf>
    <xf numFmtId="0" fontId="84" fillId="0" borderId="18" xfId="0" applyFont="1" applyBorder="1" applyAlignment="1">
      <alignment horizontal="right" vertical="top"/>
    </xf>
    <xf numFmtId="0" fontId="81" fillId="0" borderId="18" xfId="0" applyFont="1" applyBorder="1" applyAlignment="1">
      <alignment horizontal="right" vertical="top" wrapText="1"/>
    </xf>
    <xf numFmtId="0" fontId="85" fillId="0" borderId="18" xfId="53" applyFont="1" applyFill="1" applyBorder="1" applyAlignment="1">
      <alignment horizontal="center" vertical="center"/>
    </xf>
    <xf numFmtId="0" fontId="18" fillId="0" borderId="18" xfId="0" applyFont="1" applyBorder="1" applyAlignment="1">
      <alignment horizontal="right" vertical="top" wrapText="1"/>
    </xf>
    <xf numFmtId="0" fontId="13" fillId="0" borderId="18" xfId="0" applyFont="1" applyBorder="1" applyAlignment="1">
      <alignment horizontal="right" vertical="top" wrapText="1"/>
    </xf>
    <xf numFmtId="0" fontId="75" fillId="0" borderId="18" xfId="0" applyFont="1" applyBorder="1" applyAlignment="1">
      <alignment horizontal="right" vertical="top" wrapText="1"/>
    </xf>
    <xf numFmtId="0" fontId="43" fillId="0" borderId="18" xfId="52" applyBorder="1" applyAlignment="1">
      <alignment horizontal="center" vertical="center"/>
    </xf>
    <xf numFmtId="0" fontId="10" fillId="0" borderId="18" xfId="52" applyFont="1" applyBorder="1"/>
    <xf numFmtId="0" fontId="9" fillId="0" borderId="0" xfId="52" applyFont="1"/>
    <xf numFmtId="0" fontId="8" fillId="0" borderId="18" xfId="52" applyFont="1" applyBorder="1"/>
    <xf numFmtId="0" fontId="18" fillId="49" borderId="18" xfId="52" applyFont="1" applyFill="1" applyBorder="1"/>
    <xf numFmtId="0" fontId="43" fillId="49" borderId="18" xfId="52" applyFill="1" applyBorder="1"/>
    <xf numFmtId="0" fontId="21" fillId="49" borderId="18" xfId="52" applyFont="1" applyFill="1" applyBorder="1"/>
    <xf numFmtId="0" fontId="17" fillId="49" borderId="18" xfId="52" applyFont="1" applyFill="1" applyBorder="1"/>
    <xf numFmtId="0" fontId="22" fillId="49" borderId="18" xfId="52" applyFont="1" applyFill="1" applyBorder="1"/>
    <xf numFmtId="0" fontId="16" fillId="49" borderId="18" xfId="52" applyFont="1" applyFill="1" applyBorder="1"/>
    <xf numFmtId="0" fontId="10" fillId="49" borderId="18" xfId="52" applyFont="1" applyFill="1" applyBorder="1"/>
    <xf numFmtId="0" fontId="81" fillId="0" borderId="19" xfId="0" applyFont="1" applyBorder="1" applyAlignment="1">
      <alignment horizontal="right" vertical="top" wrapText="1"/>
    </xf>
    <xf numFmtId="0" fontId="0" fillId="0" borderId="20" xfId="0" applyBorder="1" applyAlignment="1">
      <alignment horizontal="right" vertical="top" wrapText="1"/>
    </xf>
    <xf numFmtId="0" fontId="7" fillId="0" borderId="18" xfId="52" applyFont="1" applyBorder="1"/>
    <xf numFmtId="0" fontId="6" fillId="0" borderId="18" xfId="52" applyFont="1" applyBorder="1"/>
    <xf numFmtId="0" fontId="5" fillId="0" borderId="18" xfId="52" applyFont="1" applyBorder="1"/>
    <xf numFmtId="0" fontId="4" fillId="0" borderId="18" xfId="52" applyFont="1" applyBorder="1"/>
    <xf numFmtId="0" fontId="0" fillId="51" borderId="18" xfId="0" applyFill="1" applyBorder="1">
      <alignment vertical="top"/>
    </xf>
    <xf numFmtId="0" fontId="41" fillId="51" borderId="18" xfId="0" applyFont="1" applyFill="1" applyBorder="1" applyAlignment="1"/>
    <xf numFmtId="0" fontId="3" fillId="0" borderId="18" xfId="52" applyFont="1" applyBorder="1"/>
    <xf numFmtId="0" fontId="19" fillId="0" borderId="0" xfId="52" applyFont="1"/>
    <xf numFmtId="0" fontId="80" fillId="0" borderId="0" xfId="0" applyFont="1">
      <alignment vertical="top"/>
    </xf>
    <xf numFmtId="0" fontId="82" fillId="0" borderId="0" xfId="53" applyFont="1" applyFill="1" applyAlignment="1">
      <alignment horizontal="right" vertical="center"/>
    </xf>
    <xf numFmtId="0" fontId="79" fillId="0" borderId="0" xfId="0" applyFont="1" applyAlignment="1">
      <alignment horizontal="right" vertical="top"/>
    </xf>
    <xf numFmtId="0" fontId="80" fillId="0" borderId="0" xfId="0" applyFont="1" applyAlignment="1">
      <alignment horizontal="right" vertical="top"/>
    </xf>
    <xf numFmtId="0" fontId="82" fillId="0" borderId="0" xfId="53" applyFont="1" applyFill="1" applyAlignment="1">
      <alignment horizontal="center" vertical="center"/>
    </xf>
    <xf numFmtId="0" fontId="80" fillId="0" borderId="19" xfId="0" applyFont="1" applyBorder="1" applyAlignment="1">
      <alignment horizontal="center" vertical="top"/>
    </xf>
    <xf numFmtId="0" fontId="80" fillId="0" borderId="20" xfId="0" applyFont="1" applyBorder="1" applyAlignment="1">
      <alignment horizontal="center" vertical="top"/>
    </xf>
    <xf numFmtId="0" fontId="2" fillId="0" borderId="18" xfId="52" applyFont="1" applyBorder="1"/>
    <xf numFmtId="0" fontId="3" fillId="49" borderId="18" xfId="52" applyFont="1" applyFill="1" applyBorder="1"/>
    <xf numFmtId="0" fontId="0" fillId="0" borderId="18" xfId="0" quotePrefix="1" applyBorder="1">
      <alignment vertical="top"/>
    </xf>
    <xf numFmtId="0" fontId="81" fillId="0" borderId="19" xfId="0" applyFont="1" applyBorder="1" applyAlignment="1">
      <alignment horizontal="center" vertical="top" wrapText="1"/>
    </xf>
    <xf numFmtId="0" fontId="81" fillId="0" borderId="20" xfId="0" applyFont="1" applyBorder="1" applyAlignment="1">
      <alignment horizontal="center" vertical="top" wrapText="1"/>
    </xf>
    <xf numFmtId="0" fontId="80" fillId="0" borderId="19" xfId="0" applyFont="1" applyBorder="1" applyAlignment="1">
      <alignment horizontal="center" vertical="top"/>
    </xf>
    <xf numFmtId="0" fontId="80" fillId="0" borderId="20" xfId="0" applyFont="1" applyBorder="1" applyAlignment="1">
      <alignment horizontal="center" vertical="top"/>
    </xf>
    <xf numFmtId="0" fontId="79" fillId="0" borderId="19" xfId="0" applyFont="1" applyBorder="1" applyAlignment="1">
      <alignment horizontal="center" vertical="top"/>
    </xf>
    <xf numFmtId="0" fontId="79" fillId="0" borderId="20" xfId="0" applyFont="1" applyBorder="1" applyAlignment="1">
      <alignment horizontal="center" vertical="top"/>
    </xf>
    <xf numFmtId="0" fontId="81" fillId="0" borderId="19" xfId="0" applyFont="1" applyBorder="1" applyAlignment="1">
      <alignment horizontal="center" vertical="top"/>
    </xf>
    <xf numFmtId="0" fontId="81" fillId="0" borderId="20" xfId="0" applyFont="1" applyBorder="1" applyAlignment="1">
      <alignment horizontal="center" vertical="top"/>
    </xf>
    <xf numFmtId="0" fontId="82" fillId="0" borderId="19" xfId="53" applyFont="1" applyFill="1" applyBorder="1" applyAlignment="1">
      <alignment horizontal="center" vertical="center"/>
    </xf>
    <xf numFmtId="0" fontId="82" fillId="0" borderId="20" xfId="53" applyFont="1" applyFill="1" applyBorder="1" applyAlignment="1">
      <alignment horizontal="center" vertical="center"/>
    </xf>
    <xf numFmtId="0" fontId="81" fillId="49" borderId="19" xfId="52" applyFont="1" applyFill="1" applyBorder="1" applyAlignment="1">
      <alignment horizontal="center" vertical="center"/>
    </xf>
    <xf numFmtId="0" fontId="81" fillId="49" borderId="20" xfId="52" applyFont="1" applyFill="1" applyBorder="1" applyAlignment="1">
      <alignment horizontal="center" vertical="center"/>
    </xf>
    <xf numFmtId="0" fontId="83" fillId="0" borderId="19" xfId="0" applyFont="1" applyBorder="1" applyAlignment="1">
      <alignment horizontal="center" vertical="top" wrapText="1"/>
    </xf>
    <xf numFmtId="0" fontId="83" fillId="0" borderId="20" xfId="0" applyFont="1" applyBorder="1" applyAlignment="1">
      <alignment horizontal="center" vertical="top" wrapText="1"/>
    </xf>
    <xf numFmtId="0" fontId="84" fillId="0" borderId="19" xfId="0" applyFont="1" applyBorder="1" applyAlignment="1">
      <alignment horizontal="center" vertical="top"/>
    </xf>
    <xf numFmtId="0" fontId="84" fillId="0" borderId="20" xfId="0" applyFont="1" applyBorder="1" applyAlignment="1">
      <alignment horizontal="center" vertical="top"/>
    </xf>
    <xf numFmtId="0" fontId="84" fillId="0" borderId="19" xfId="0" applyFont="1" applyBorder="1" applyAlignment="1">
      <alignment horizontal="center" vertical="center" wrapText="1"/>
    </xf>
    <xf numFmtId="0" fontId="84" fillId="0" borderId="20" xfId="0" applyFont="1" applyBorder="1" applyAlignment="1">
      <alignment horizontal="center" vertical="center" wrapText="1"/>
    </xf>
    <xf numFmtId="0" fontId="0" fillId="8" borderId="6" xfId="0" applyFill="1" applyBorder="1">
      <alignment vertical="top"/>
    </xf>
    <xf numFmtId="0" fontId="0" fillId="8" borderId="7" xfId="0" applyFill="1" applyBorder="1">
      <alignment vertical="top"/>
    </xf>
    <xf numFmtId="0" fontId="0" fillId="8" borderId="9" xfId="0" applyFill="1" applyBorder="1">
      <alignment vertical="top"/>
    </xf>
    <xf numFmtId="0" fontId="0" fillId="8" borderId="10" xfId="0" applyFill="1" applyBorder="1">
      <alignment vertical="top"/>
    </xf>
    <xf numFmtId="0" fontId="59" fillId="0" borderId="4" xfId="15" applyAlignment="1">
      <alignment horizontal="center" vertical="center"/>
    </xf>
    <xf numFmtId="0" fontId="18" fillId="0" borderId="0" xfId="0" applyFont="1" applyAlignment="1">
      <alignment horizontal="right" vertical="top" wrapText="1"/>
    </xf>
    <xf numFmtId="0" fontId="75" fillId="0" borderId="0" xfId="0" applyFont="1" applyAlignment="1">
      <alignment horizontal="right" vertical="top" wrapText="1"/>
    </xf>
    <xf numFmtId="0" fontId="81" fillId="0" borderId="0" xfId="0" applyFont="1" applyAlignment="1">
      <alignment horizontal="right" vertical="top" wrapText="1"/>
    </xf>
    <xf numFmtId="0" fontId="81" fillId="0" borderId="0" xfId="0" applyFont="1" applyAlignment="1">
      <alignment horizontal="right" vertical="top"/>
    </xf>
    <xf numFmtId="0" fontId="81" fillId="0" borderId="18" xfId="0" applyFont="1" applyBorder="1" applyAlignment="1">
      <alignment horizontal="right" vertical="top" wrapText="1"/>
    </xf>
    <xf numFmtId="0" fontId="18" fillId="0" borderId="18" xfId="0" applyFont="1" applyBorder="1" applyAlignment="1">
      <alignment horizontal="right" vertical="top" wrapText="1"/>
    </xf>
    <xf numFmtId="0" fontId="75" fillId="0" borderId="18" xfId="0" applyFont="1" applyBorder="1" applyAlignment="1">
      <alignment horizontal="right" vertical="top" wrapText="1"/>
    </xf>
    <xf numFmtId="0" fontId="81" fillId="0" borderId="18" xfId="0" applyFont="1" applyBorder="1" applyAlignment="1">
      <alignment horizontal="right" vertical="top"/>
    </xf>
    <xf numFmtId="0" fontId="81" fillId="0" borderId="19" xfId="0" applyFont="1" applyBorder="1" applyAlignment="1">
      <alignment horizontal="right" vertical="top" wrapText="1"/>
    </xf>
    <xf numFmtId="0" fontId="0" fillId="0" borderId="20" xfId="0" applyBorder="1" applyAlignment="1">
      <alignment horizontal="right" vertical="top" wrapText="1"/>
    </xf>
    <xf numFmtId="0" fontId="81" fillId="0" borderId="19" xfId="0" applyFont="1" applyBorder="1" applyAlignment="1">
      <alignment horizontal="right" vertical="top"/>
    </xf>
    <xf numFmtId="0" fontId="0" fillId="0" borderId="20" xfId="0" applyBorder="1" applyAlignment="1">
      <alignment horizontal="right" vertical="top"/>
    </xf>
    <xf numFmtId="0" fontId="81" fillId="0" borderId="20" xfId="0" applyFont="1" applyBorder="1" applyAlignment="1">
      <alignment horizontal="right" vertical="top" wrapText="1"/>
    </xf>
    <xf numFmtId="0" fontId="0" fillId="0" borderId="20" xfId="0" applyBorder="1">
      <alignment vertical="top"/>
    </xf>
    <xf numFmtId="0" fontId="81" fillId="0" borderId="20" xfId="0" applyFont="1" applyBorder="1" applyAlignment="1">
      <alignment horizontal="right" vertical="top"/>
    </xf>
    <xf numFmtId="0" fontId="83" fillId="0" borderId="0" xfId="0" applyFont="1" applyAlignment="1">
      <alignment horizontal="right" vertical="top" wrapText="1"/>
    </xf>
    <xf numFmtId="0" fontId="80" fillId="0" borderId="0" xfId="0" applyFont="1" applyAlignment="1">
      <alignment horizontal="right" vertical="top"/>
    </xf>
    <xf numFmtId="0" fontId="84" fillId="0" borderId="0" xfId="0" applyFont="1" applyAlignment="1">
      <alignment horizontal="right" vertical="center" wrapText="1"/>
    </xf>
    <xf numFmtId="0" fontId="0" fillId="8" borderId="6" xfId="0" applyFill="1" applyBorder="1" applyAlignment="1">
      <alignment horizontal="center" vertical="center"/>
    </xf>
    <xf numFmtId="0" fontId="0" fillId="8" borderId="7" xfId="0" applyFill="1" applyBorder="1" applyAlignment="1">
      <alignment horizontal="center" vertical="center"/>
    </xf>
    <xf numFmtId="0" fontId="0" fillId="8" borderId="9" xfId="0" applyFill="1" applyBorder="1" applyAlignment="1">
      <alignment horizontal="center" vertical="center"/>
    </xf>
    <xf numFmtId="0" fontId="0" fillId="8" borderId="10" xfId="0" applyFill="1" applyBorder="1" applyAlignment="1">
      <alignment horizontal="center" vertical="center"/>
    </xf>
    <xf numFmtId="0" fontId="81" fillId="0" borderId="0" xfId="0" applyFont="1" applyAlignment="1">
      <alignment horizontal="right" vertical="center" wrapText="1"/>
    </xf>
    <xf numFmtId="0" fontId="75" fillId="0" borderId="0" xfId="0" applyFont="1" applyAlignment="1">
      <alignment horizontal="center" vertical="top" wrapText="1"/>
    </xf>
    <xf numFmtId="0" fontId="36" fillId="0" borderId="0" xfId="52" applyFont="1" applyAlignment="1">
      <alignment horizontal="center" vertical="top" wrapText="1"/>
    </xf>
    <xf numFmtId="0" fontId="40" fillId="0" borderId="0" xfId="52" applyFont="1" applyAlignment="1">
      <alignment horizontal="center" vertical="top" wrapText="1"/>
    </xf>
    <xf numFmtId="0" fontId="0" fillId="0" borderId="0" xfId="0">
      <alignment vertical="top"/>
    </xf>
    <xf numFmtId="0" fontId="75" fillId="0" borderId="0" xfId="0" applyFont="1" applyAlignment="1">
      <alignment horizontal="left" vertical="top" wrapText="1"/>
    </xf>
    <xf numFmtId="0" fontId="0" fillId="0" borderId="0" xfId="0" applyAlignment="1">
      <alignment vertical="top" wrapText="1"/>
    </xf>
    <xf numFmtId="0" fontId="34" fillId="0" borderId="0" xfId="52" applyFont="1" applyAlignment="1">
      <alignment horizontal="left" wrapText="1"/>
    </xf>
    <xf numFmtId="0" fontId="0" fillId="0" borderId="0" xfId="0" applyAlignment="1">
      <alignment horizontal="left"/>
    </xf>
    <xf numFmtId="0" fontId="40" fillId="0" borderId="0" xfId="52" applyFont="1" applyAlignment="1">
      <alignment horizontal="left" vertical="top" wrapText="1"/>
    </xf>
    <xf numFmtId="0" fontId="1" fillId="0" borderId="18" xfId="52" applyFont="1" applyBorder="1"/>
  </cellXfs>
  <cellStyles count="54">
    <cellStyle name="20% - Énfasis1" xfId="31" builtinId="30" customBuiltin="1"/>
    <cellStyle name="20% - Énfasis2" xfId="34" builtinId="34" customBuiltin="1"/>
    <cellStyle name="20% - Énfasis3" xfId="38" builtinId="38" customBuiltin="1"/>
    <cellStyle name="20% - Énfasis4" xfId="42" builtinId="42" customBuiltin="1"/>
    <cellStyle name="20% - Énfasis5" xfId="45" builtinId="46" customBuiltin="1"/>
    <cellStyle name="20% - Énfasis6" xfId="49" builtinId="50" customBuiltin="1"/>
    <cellStyle name="40% - Énfasis1" xfId="1" builtinId="31" customBuiltin="1"/>
    <cellStyle name="40% - Énfasis2" xfId="35" builtinId="35" customBuiltin="1"/>
    <cellStyle name="40% - Énfasis3" xfId="39" builtinId="39" customBuiltin="1"/>
    <cellStyle name="40% - Énfasis4" xfId="43" builtinId="43" customBuiltin="1"/>
    <cellStyle name="40% - Énfasis5" xfId="46" builtinId="47" customBuiltin="1"/>
    <cellStyle name="40% - Énfasis6" xfId="50" builtinId="51" customBuiltin="1"/>
    <cellStyle name="60% - Énfasis1" xfId="32" builtinId="32" customBuiltin="1"/>
    <cellStyle name="60% - Énfasis2" xfId="36" builtinId="36" customBuiltin="1"/>
    <cellStyle name="60% - Énfasis3" xfId="40" builtinId="40" customBuiltin="1"/>
    <cellStyle name="60% - Énfasis4" xfId="44" builtinId="44" customBuiltin="1"/>
    <cellStyle name="60% - Énfasis5" xfId="47" builtinId="48" customBuiltin="1"/>
    <cellStyle name="60% - Énfasis6" xfId="51" builtinId="52" customBuiltin="1"/>
    <cellStyle name="Bueno" xfId="19" builtinId="26" customBuiltin="1"/>
    <cellStyle name="Cálculo" xfId="24" builtinId="22" customBuiltin="1"/>
    <cellStyle name="Celda de comprobación" xfId="26" builtinId="23" customBuiltin="1"/>
    <cellStyle name="Celda vinculada" xfId="25" builtinId="24" customBuiltin="1"/>
    <cellStyle name="Con bandas" xfId="16" xr:uid="{372A1842-8DB4-4B05-A4F9-194B0B56EABA}"/>
    <cellStyle name="Día" xfId="17" xr:uid="{CB09B5E3-8995-4BCC-99D7-4E3B52C29B71}"/>
    <cellStyle name="Día: nombre" xfId="15" xr:uid="{F4C59F2B-B807-4231-B5C0-B51F441FA314}"/>
    <cellStyle name="Encabezado 1" xfId="2" builtinId="16" customBuiltin="1"/>
    <cellStyle name="Encabezado 4" xfId="11" builtinId="19" customBuiltin="1"/>
    <cellStyle name="Énfasis1" xfId="3" builtinId="29" customBuiltin="1"/>
    <cellStyle name="Énfasis2" xfId="33" builtinId="33" customBuiltin="1"/>
    <cellStyle name="Énfasis3" xfId="37" builtinId="37" customBuiltin="1"/>
    <cellStyle name="Énfasis4" xfId="41" builtinId="41" customBuiltin="1"/>
    <cellStyle name="Énfasis5" xfId="4" builtinId="45" customBuiltin="1"/>
    <cellStyle name="Énfasis6" xfId="48" builtinId="49" customBuiltin="1"/>
    <cellStyle name="Entrada" xfId="22" builtinId="20" customBuiltin="1"/>
    <cellStyle name="Entrada de configuración" xfId="18" xr:uid="{8F0303C9-060A-4378-B3BA-99408B995F90}"/>
    <cellStyle name="Hipervínculo 2" xfId="53" xr:uid="{2E3D9550-B3E2-4201-9731-8F3193D371A6}"/>
    <cellStyle name="Incorrecto" xfId="20" builtinId="27" customBuiltin="1"/>
    <cellStyle name="Mes" xfId="14" xr:uid="{0620BD55-CC6D-4E32-846C-ED1E5CA86C76}"/>
    <cellStyle name="Millares" xfId="6" builtinId="3" customBuiltin="1"/>
    <cellStyle name="Millares [0]" xfId="7" builtinId="6" customBuiltin="1"/>
    <cellStyle name="Moneda" xfId="8" builtinId="4" customBuiltin="1"/>
    <cellStyle name="Moneda [0]" xfId="9" builtinId="7" customBuiltin="1"/>
    <cellStyle name="Neutral" xfId="21" builtinId="28" customBuiltin="1"/>
    <cellStyle name="Normal" xfId="0" builtinId="0" customBuiltin="1"/>
    <cellStyle name="Normal 2" xfId="52" xr:uid="{12849B72-7E75-4989-B1C6-C885FF41DF7E}"/>
    <cellStyle name="Notas" xfId="28" builtinId="10" customBuiltin="1"/>
    <cellStyle name="Porcentaje" xfId="10" builtinId="5" customBuiltin="1"/>
    <cellStyle name="Salida" xfId="23" builtinId="21" customBuiltin="1"/>
    <cellStyle name="Texto de advertencia" xfId="27" builtinId="11" customBuiltin="1"/>
    <cellStyle name="Texto explicativo" xfId="29" builtinId="53" customBuiltin="1"/>
    <cellStyle name="Título" xfId="5" builtinId="15" customBuiltin="1"/>
    <cellStyle name="Título 2" xfId="12" builtinId="17" customBuiltin="1"/>
    <cellStyle name="Título 3" xfId="13" builtinId="18" customBuiltin="1"/>
    <cellStyle name="Total" xfId="30" builtinId="25" customBuiltin="1"/>
  </cellStyles>
  <dxfs count="60">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F1F2F5"/>
      <rgbColor rgb="00008080"/>
      <rgbColor rgb="00E4EAF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314265"/>
      <rgbColor rgb="00CCFFCC"/>
      <rgbColor rgb="00FFEECD"/>
      <rgbColor rgb="00D0D8E2"/>
      <rgbColor rgb="00FF99CC"/>
      <rgbColor rgb="00CC99FF"/>
      <rgbColor rgb="00FFCC99"/>
      <rgbColor rgb="003366FF"/>
      <rgbColor rgb="0033CCCC"/>
      <rgbColor rgb="0099CC00"/>
      <rgbColor rgb="00FFCC00"/>
      <rgbColor rgb="00FF9900"/>
      <rgbColor rgb="00FF6600"/>
      <rgbColor rgb="00717789"/>
      <rgbColor rgb="00969696"/>
      <rgbColor rgb="00003366"/>
      <rgbColor rgb="00339966"/>
      <rgbColor rgb="00003300"/>
      <rgbColor rgb="00333300"/>
      <rgbColor rgb="00993300"/>
      <rgbColor rgb="00993366"/>
      <rgbColor rgb="00333399"/>
      <rgbColor rgb="004B4B4B"/>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2.xml"/></Relationships>
</file>

<file path=xl/theme/theme1.xml><?xml version="1.0" encoding="utf-8"?>
<a:theme xmlns:a="http://schemas.openxmlformats.org/drawingml/2006/main" name="Personal">
  <a:themeElements>
    <a:clrScheme name="Rainbow">
      <a:dk1>
        <a:srgbClr val="000000"/>
      </a:dk1>
      <a:lt1>
        <a:srgbClr val="FFFFFF"/>
      </a:lt1>
      <a:dk2>
        <a:srgbClr val="7E8083"/>
      </a:dk2>
      <a:lt2>
        <a:srgbClr val="E4E5E6"/>
      </a:lt2>
      <a:accent1>
        <a:srgbClr val="7AC143"/>
      </a:accent1>
      <a:accent2>
        <a:srgbClr val="00853E"/>
      </a:accent2>
      <a:accent3>
        <a:srgbClr val="00ADEE"/>
      </a:accent3>
      <a:accent4>
        <a:srgbClr val="FFC000"/>
      </a:accent4>
      <a:accent5>
        <a:srgbClr val="F47920"/>
      </a:accent5>
      <a:accent6>
        <a:srgbClr val="E51937"/>
      </a:accent6>
      <a:hlink>
        <a:srgbClr val="F47920"/>
      </a:hlink>
      <a:folHlink>
        <a:srgbClr val="954F72"/>
      </a:folHlink>
    </a:clrScheme>
    <a:fontScheme name="Custom 2">
      <a:majorFont>
        <a:latin typeface="Rockwell"/>
        <a:ea typeface=""/>
        <a:cs typeface=""/>
      </a:majorFont>
      <a:minorFont>
        <a:latin typeface="Lucida Sans"/>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 dockstate="right" visibility="0" width="350" row="1">
    <wetp:webextensionref xmlns:r="http://schemas.openxmlformats.org/officeDocument/2006/relationships" r:id="rId2"/>
  </wetp:taskpane>
</wetp:taskpanes>
</file>

<file path=xl/webextensions/webextension1.xml><?xml version="1.0" encoding="utf-8"?>
<we:webextension xmlns:we="http://schemas.microsoft.com/office/webextensions/webextension/2010/11" id="{672452D5-D749-41BE-978C-383B29DE4ED0}">
  <we:reference id="wa200005271" version="2.0.0.0" store="es-ES" storeType="OMEX"/>
  <we:alternateReferences>
    <we:reference id="wa200005271" version="2.0.0.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List>
    </a:ext>
  </we:extLst>
</we:webextension>
</file>

<file path=xl/webextensions/webextension2.xml><?xml version="1.0" encoding="utf-8"?>
<we:webextension xmlns:we="http://schemas.microsoft.com/office/webextensions/webextension/2010/11" id="{00CC7119-6FCE-4004-BFD8-8E42B62F6B47}">
  <we:reference id="wa200001584" version="2.8.1.5" store="es-ES" storeType="OMEX"/>
  <we:alternateReferences>
    <we:reference id="wa200001584" version="2.8.1.5" store="WA200001584"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printerSettings" Target="../printerSettings/printerSettings13.bin"/><Relationship Id="rId2" Type="http://schemas.openxmlformats.org/officeDocument/2006/relationships/hyperlink" Target="javascript:envioPeticionOpcion(1,%20'ME','2mOPDtwhtSfaY48O3CG1JwAAAXXtvAnM2FkdViqMup8','N','*amp*FILTRO_TLA1=N*amp*FILTRO_TLA1_contracteCarrec=*amp*FILTRO_TLA1_referenciaUnica=*amp*FILTRO_TLA1_contracteAbon=*amp*FILTRO_TLA1_indContracteAbon=*amp*TIPUS_CONSULTA=*amp*FILTRO_TLA1_codiDivisa=*amp*FILTRO_TLA1_indicadorEfectiu=*amp*FILTRO_TLA1_oficina=*amp*FILTRO_TLA1_entitat=*amp*FILTRO_TLA1_codiEntitat=*amp*FILTRO_TLA1_importInicial=*amp*FILTRO_TLA1_importFinal=*amp*FILTRO_TLA1_dataInici=*amp*FILTRO_TLA1_dataFin=*amp*FILTRO_TLA1_estat=*amp*FILTRO_TLA1_canal=*amp*FLUJO=UNI,100,:UNI,0,:GFI,7,*amp*LISTA_CUENTAS_IS_INICIO=S*amp*REFVAL_SIMPLE_CLAVE_CONTINUACION_CUENTAS=2mOPDvGIP~jaY48O8Yg_6AAAAXXtvzKyDsc1K_SK_nk*amp*TIPO_LISTADO=T*amp*TIPUS_TRANSFERENCIA=ME*amp*IND_CONTINUACION=*amp*CLAU_CONTINUACION=*amp*PESTANA=TTU','bernat','2mOPDtw7B1vaY48O3DsHWwAAAXXtvAnL9Lwo0vxpEfI')" TargetMode="External"/><Relationship Id="rId1" Type="http://schemas.openxmlformats.org/officeDocument/2006/relationships/hyperlink" Target="javascript:envioPeticionOpcion(1,%20'ME','2mOPDvZSYpTaY48O9lJilAAAAXXtv~BpNWeet5~V2f0','N','*amp*FILTRO_TLA1=N*amp*FILTRO_TLA1_contracteCarrec=*amp*FILTRO_TLA1_referenciaUnica=*amp*FILTRO_TLA1_contracteAbon=*amp*FILTRO_TLA1_indContracteAbon=*amp*TIPUS_CONSULTA=*amp*FILTRO_TLA1_codiDivisa=*amp*FILTRO_TLA1_indicadorEfectiu=*amp*FILTRO_TLA1_oficina=*amp*FILTRO_TLA1_entitat=*amp*FILTRO_TLA1_codiEntitat=*amp*FILTRO_TLA1_importInicial=*amp*FILTRO_TLA1_importFinal=*amp*FILTRO_TLA1_dataInici=*amp*FILTRO_TLA1_dataFin=*amp*FILTRO_TLA1_estat=*amp*FILTRO_TLA1_canal=*amp*FLUJO=UNI,100,:UNI,0,:GFI,7,*amp*LISTA_CUENTAS_IS_INICIO=S*amp*REFVAL_SIMPLE_CLAVE_CONTINUACION_CUENTAS=2mOPDvGIP~jaY48O8Yg_6AAAAXXtvzKyDsc1K_SK_nk*amp*TIPO_LISTADO=T*amp*TIPUS_TRANSFERENCIA=ME*amp*IND_CONTINUACION=*amp*CLAU_CONTINUACION=*amp*PESTANA=TTU','PAU%20P','2mOPDvYYTVzaY48O9hhNXAAAAXXtv~BpYLBGdgQz52c')" TargetMode="Externa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javascript:envioPeticionOpcion(1,%20'ME','2mOPDtwhtSfaY48O3CG1JwAAAXXtvAnM2FkdViqMup8','N','*amp*FILTRO_TLA1=N*amp*FILTRO_TLA1_contracteCarrec=*amp*FILTRO_TLA1_referenciaUnica=*amp*FILTRO_TLA1_contracteAbon=*amp*FILTRO_TLA1_indContracteAbon=*amp*TIPUS_CONSULTA=*amp*FILTRO_TLA1_codiDivisa=*amp*FILTRO_TLA1_indicadorEfectiu=*amp*FILTRO_TLA1_oficina=*amp*FILTRO_TLA1_entitat=*amp*FILTRO_TLA1_codiEntitat=*amp*FILTRO_TLA1_importInicial=*amp*FILTRO_TLA1_importFinal=*amp*FILTRO_TLA1_dataInici=*amp*FILTRO_TLA1_dataFin=*amp*FILTRO_TLA1_estat=*amp*FILTRO_TLA1_canal=*amp*FLUJO=UNI,100,:UNI,0,:GFI,7,*amp*LISTA_CUENTAS_IS_INICIO=S*amp*REFVAL_SIMPLE_CLAVE_CONTINUACION_CUENTAS=2mOPDvGIP~jaY48O8Yg_6AAAAXXtvzKyDsc1K_SK_nk*amp*TIPO_LISTADO=T*amp*TIPUS_TRANSFERENCIA=ME*amp*IND_CONTINUACION=*amp*CLAU_CONTINUACION=*amp*PESTANA=TTU','bernat','2mOPDtw7B1vaY48O3DsHWwAAAXXtvAnL9Lwo0vxpEfI')" TargetMode="External"/></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15.bin"/><Relationship Id="rId2" Type="http://schemas.openxmlformats.org/officeDocument/2006/relationships/hyperlink" Target="javascript:envioPeticionOpcion(1,%20'ME','2mOPDtwhtSfaY48O3CG1JwAAAXXtvAnM2FkdViqMup8','N','*amp*FILTRO_TLA1=N*amp*FILTRO_TLA1_contracteCarrec=*amp*FILTRO_TLA1_referenciaUnica=*amp*FILTRO_TLA1_contracteAbon=*amp*FILTRO_TLA1_indContracteAbon=*amp*TIPUS_CONSULTA=*amp*FILTRO_TLA1_codiDivisa=*amp*FILTRO_TLA1_indicadorEfectiu=*amp*FILTRO_TLA1_oficina=*amp*FILTRO_TLA1_entitat=*amp*FILTRO_TLA1_codiEntitat=*amp*FILTRO_TLA1_importInicial=*amp*FILTRO_TLA1_importFinal=*amp*FILTRO_TLA1_dataInici=*amp*FILTRO_TLA1_dataFin=*amp*FILTRO_TLA1_estat=*amp*FILTRO_TLA1_canal=*amp*FLUJO=UNI,100,:UNI,0,:GFI,7,*amp*LISTA_CUENTAS_IS_INICIO=S*amp*REFVAL_SIMPLE_CLAVE_CONTINUACION_CUENTAS=2mOPDvGIP~jaY48O8Yg_6AAAAXXtvzKyDsc1K_SK_nk*amp*TIPO_LISTADO=T*amp*TIPUS_TRANSFERENCIA=ME*amp*IND_CONTINUACION=*amp*CLAU_CONTINUACION=*amp*PESTANA=TTU','bernat','2mOPDtw7B1vaY48O3DsHWwAAAXXtvAnL9Lwo0vxpEfI')" TargetMode="External"/><Relationship Id="rId1" Type="http://schemas.openxmlformats.org/officeDocument/2006/relationships/hyperlink" Target="javascript:envioPeticionOpcion(1,%20'ME','2mOPDvZSYpTaY48O9lJilAAAAXXtv~BpNWeet5~V2f0','N','*amp*FILTRO_TLA1=N*amp*FILTRO_TLA1_contracteCarrec=*amp*FILTRO_TLA1_referenciaUnica=*amp*FILTRO_TLA1_contracteAbon=*amp*FILTRO_TLA1_indContracteAbon=*amp*TIPUS_CONSULTA=*amp*FILTRO_TLA1_codiDivisa=*amp*FILTRO_TLA1_indicadorEfectiu=*amp*FILTRO_TLA1_oficina=*amp*FILTRO_TLA1_entitat=*amp*FILTRO_TLA1_codiEntitat=*amp*FILTRO_TLA1_importInicial=*amp*FILTRO_TLA1_importFinal=*amp*FILTRO_TLA1_dataInici=*amp*FILTRO_TLA1_dataFin=*amp*FILTRO_TLA1_estat=*amp*FILTRO_TLA1_canal=*amp*FLUJO=UNI,100,:UNI,0,:GFI,7,*amp*LISTA_CUENTAS_IS_INICIO=S*amp*REFVAL_SIMPLE_CLAVE_CONTINUACION_CUENTAS=2mOPDvGIP~jaY48O8Yg_6AAAAXXtvzKyDsc1K_SK_nk*amp*TIPO_LISTADO=T*amp*TIPUS_TRANSFERENCIA=ME*amp*IND_CONTINUACION=*amp*CLAU_CONTINUACION=*amp*PESTANA=TTU','PAU%20P','2mOPDvYYTVzaY48O9hhNXAAAAXXtv~BpYLBGdgQz52c')" TargetMode="External"/></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16.bin"/><Relationship Id="rId2" Type="http://schemas.openxmlformats.org/officeDocument/2006/relationships/hyperlink" Target="javascript:envioPeticionOpcion(1,%20'ME','2mOPDtwhtSfaY48O3CG1JwAAAXXtvAnM2FkdViqMup8','N','*amp*FILTRO_TLA1=N*amp*FILTRO_TLA1_contracteCarrec=*amp*FILTRO_TLA1_referenciaUnica=*amp*FILTRO_TLA1_contracteAbon=*amp*FILTRO_TLA1_indContracteAbon=*amp*TIPUS_CONSULTA=*amp*FILTRO_TLA1_codiDivisa=*amp*FILTRO_TLA1_indicadorEfectiu=*amp*FILTRO_TLA1_oficina=*amp*FILTRO_TLA1_entitat=*amp*FILTRO_TLA1_codiEntitat=*amp*FILTRO_TLA1_importInicial=*amp*FILTRO_TLA1_importFinal=*amp*FILTRO_TLA1_dataInici=*amp*FILTRO_TLA1_dataFin=*amp*FILTRO_TLA1_estat=*amp*FILTRO_TLA1_canal=*amp*FLUJO=UNI,100,:UNI,0,:GFI,7,*amp*LISTA_CUENTAS_IS_INICIO=S*amp*REFVAL_SIMPLE_CLAVE_CONTINUACION_CUENTAS=2mOPDvGIP~jaY48O8Yg_6AAAAXXtvzKyDsc1K_SK_nk*amp*TIPO_LISTADO=T*amp*TIPUS_TRANSFERENCIA=ME*amp*IND_CONTINUACION=*amp*CLAU_CONTINUACION=*amp*PESTANA=TTU','bernat','2mOPDtw7B1vaY48O3DsHWwAAAXXtvAnL9Lwo0vxpEfI')" TargetMode="External"/><Relationship Id="rId1" Type="http://schemas.openxmlformats.org/officeDocument/2006/relationships/hyperlink" Target="javascript:envioPeticionOpcion(1,%20'ME','2mOPDvZSYpTaY48O9lJilAAAAXXtv~BpNWeet5~V2f0','N','*amp*FILTRO_TLA1=N*amp*FILTRO_TLA1_contracteCarrec=*amp*FILTRO_TLA1_referenciaUnica=*amp*FILTRO_TLA1_contracteAbon=*amp*FILTRO_TLA1_indContracteAbon=*amp*TIPUS_CONSULTA=*amp*FILTRO_TLA1_codiDivisa=*amp*FILTRO_TLA1_indicadorEfectiu=*amp*FILTRO_TLA1_oficina=*amp*FILTRO_TLA1_entitat=*amp*FILTRO_TLA1_codiEntitat=*amp*FILTRO_TLA1_importInicial=*amp*FILTRO_TLA1_importFinal=*amp*FILTRO_TLA1_dataInici=*amp*FILTRO_TLA1_dataFin=*amp*FILTRO_TLA1_estat=*amp*FILTRO_TLA1_canal=*amp*FLUJO=UNI,100,:UNI,0,:GFI,7,*amp*LISTA_CUENTAS_IS_INICIO=S*amp*REFVAL_SIMPLE_CLAVE_CONTINUACION_CUENTAS=2mOPDvGIP~jaY48O8Yg_6AAAAXXtvzKyDsc1K_SK_nk*amp*TIPO_LISTADO=T*amp*TIPUS_TRANSFERENCIA=ME*amp*IND_CONTINUACION=*amp*CLAU_CONTINUACION=*amp*PESTANA=TTU','PAU%20P','2mOPDvYYTVzaY48O9hhNXAAAAXXtv~BpYLBGdgQz52c')" TargetMode="Externa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hyperlink" Target="javascript:envioPeticionOpcion(1,%20'ME','2mOPDtwhtSfaY48O3CG1JwAAAXXtvAnM2FkdViqMup8','N','*amp*FILTRO_TLA1=N*amp*FILTRO_TLA1_contracteCarrec=*amp*FILTRO_TLA1_referenciaUnica=*amp*FILTRO_TLA1_contracteAbon=*amp*FILTRO_TLA1_indContracteAbon=*amp*TIPUS_CONSULTA=*amp*FILTRO_TLA1_codiDivisa=*amp*FILTRO_TLA1_indicadorEfectiu=*amp*FILTRO_TLA1_oficina=*amp*FILTRO_TLA1_entitat=*amp*FILTRO_TLA1_codiEntitat=*amp*FILTRO_TLA1_importInicial=*amp*FILTRO_TLA1_importFinal=*amp*FILTRO_TLA1_dataInici=*amp*FILTRO_TLA1_dataFin=*amp*FILTRO_TLA1_estat=*amp*FILTRO_TLA1_canal=*amp*FLUJO=UNI,100,:UNI,0,:GFI,7,*amp*LISTA_CUENTAS_IS_INICIO=S*amp*REFVAL_SIMPLE_CLAVE_CONTINUACION_CUENTAS=2mOPDvGIP~jaY48O8Yg_6AAAAXXtvzKyDsc1K_SK_nk*amp*TIPO_LISTADO=T*amp*TIPUS_TRANSFERENCIA=ME*amp*IND_CONTINUACION=*amp*CLAU_CONTINUACION=*amp*PESTANA=TTU','bernat','2mOPDtw7B1vaY48O3DsHWwAAAXXtvAnL9Lwo0vxpEfI')" TargetMode="External"/></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javascript:envioPeticionOpcion(1,%20'ME','2mOPDtwhtSfaY48O3CG1JwAAAXXtvAnM2FkdViqMup8','N','*amp*FILTRO_TLA1=N*amp*FILTRO_TLA1_contracteCarrec=*amp*FILTRO_TLA1_referenciaUnica=*amp*FILTRO_TLA1_contracteAbon=*amp*FILTRO_TLA1_indContracteAbon=*amp*TIPUS_CONSULTA=*amp*FILTRO_TLA1_codiDivisa=*amp*FILTRO_TLA1_indicadorEfectiu=*amp*FILTRO_TLA1_oficina=*amp*FILTRO_TLA1_entitat=*amp*FILTRO_TLA1_codiEntitat=*amp*FILTRO_TLA1_importInicial=*amp*FILTRO_TLA1_importFinal=*amp*FILTRO_TLA1_dataInici=*amp*FILTRO_TLA1_dataFin=*amp*FILTRO_TLA1_estat=*amp*FILTRO_TLA1_canal=*amp*FLUJO=UNI,100,:UNI,0,:GFI,7,*amp*LISTA_CUENTAS_IS_INICIO=S*amp*REFVAL_SIMPLE_CLAVE_CONTINUACION_CUENTAS=2mOPDvGIP~jaY48O8Yg_6AAAAXXtvzKyDsc1K_SK_nk*amp*TIPO_LISTADO=T*amp*TIPUS_TRANSFERENCIA=ME*amp*IND_CONTINUACION=*amp*CLAU_CONTINUACION=*amp*PESTANA=TTU','bernat','2mOPDtw7B1vaY48O3DsHWwAAAXXtvAnL9Lwo0vxpEfI')" TargetMode="External"/></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javascript:envioPeticionOpcion(1,%20'ME','2mOPDtwhtSfaY48O3CG1JwAAAXXtvAnM2FkdViqMup8','N','*amp*FILTRO_TLA1=N*amp*FILTRO_TLA1_contracteCarrec=*amp*FILTRO_TLA1_referenciaUnica=*amp*FILTRO_TLA1_contracteAbon=*amp*FILTRO_TLA1_indContracteAbon=*amp*TIPUS_CONSULTA=*amp*FILTRO_TLA1_codiDivisa=*amp*FILTRO_TLA1_indicadorEfectiu=*amp*FILTRO_TLA1_oficina=*amp*FILTRO_TLA1_entitat=*amp*FILTRO_TLA1_codiEntitat=*amp*FILTRO_TLA1_importInicial=*amp*FILTRO_TLA1_importFinal=*amp*FILTRO_TLA1_dataInici=*amp*FILTRO_TLA1_dataFin=*amp*FILTRO_TLA1_estat=*amp*FILTRO_TLA1_canal=*amp*FLUJO=UNI,100,:UNI,0,:GFI,7,*amp*LISTA_CUENTAS_IS_INICIO=S*amp*REFVAL_SIMPLE_CLAVE_CONTINUACION_CUENTAS=2mOPDvGIP~jaY48O8Yg_6AAAAXXtvzKyDsc1K_SK_nk*amp*TIPO_LISTADO=T*amp*TIPUS_TRANSFERENCIA=ME*amp*IND_CONTINUACION=*amp*CLAU_CONTINUACION=*amp*PESTANA=TTU','bernat','2mOPDtw7B1vaY48O3DsHWwAAAXXtvAnL9Lwo0vxpEfI')" TargetMode="External"/></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20.bin"/><Relationship Id="rId1" Type="http://schemas.openxmlformats.org/officeDocument/2006/relationships/hyperlink" Target="javascript:envioPeticionOpcion(1,%20'ME','2mOPDtwhtSfaY48O3CG1JwAAAXXtvAnM2FkdViqMup8','N','*amp*FILTRO_TLA1=N*amp*FILTRO_TLA1_contracteCarrec=*amp*FILTRO_TLA1_referenciaUnica=*amp*FILTRO_TLA1_contracteAbon=*amp*FILTRO_TLA1_indContracteAbon=*amp*TIPUS_CONSULTA=*amp*FILTRO_TLA1_codiDivisa=*amp*FILTRO_TLA1_indicadorEfectiu=*amp*FILTRO_TLA1_oficina=*amp*FILTRO_TLA1_entitat=*amp*FILTRO_TLA1_codiEntitat=*amp*FILTRO_TLA1_importInicial=*amp*FILTRO_TLA1_importFinal=*amp*FILTRO_TLA1_dataInici=*amp*FILTRO_TLA1_dataFin=*amp*FILTRO_TLA1_estat=*amp*FILTRO_TLA1_canal=*amp*FLUJO=UNI,100,:UNI,0,:GFI,7,*amp*LISTA_CUENTAS_IS_INICIO=S*amp*REFVAL_SIMPLE_CLAVE_CONTINUACION_CUENTAS=2mOPDvGIP~jaY48O8Yg_6AAAAXXtvzKyDsc1K_SK_nk*amp*TIPO_LISTADO=T*amp*TIPUS_TRANSFERENCIA=ME*amp*IND_CONTINUACION=*amp*CLAU_CONTINUACION=*amp*PESTANA=TTU','bernat','2mOPDtw7B1vaY48O3DsHWwAAAXXtvAnL9Lwo0vxpEfI')" TargetMode="External"/></Relationships>
</file>

<file path=xl/worksheets/_rels/sheet21.xml.rels><?xml version="1.0" encoding="UTF-8" standalone="yes"?>
<Relationships xmlns="http://schemas.openxmlformats.org/package/2006/relationships"><Relationship Id="rId2" Type="http://schemas.openxmlformats.org/officeDocument/2006/relationships/printerSettings" Target="../printerSettings/printerSettings21.bin"/><Relationship Id="rId1" Type="http://schemas.openxmlformats.org/officeDocument/2006/relationships/hyperlink" Target="javascript:envioPeticionOpcion(1,%20'ME','2mOPDtwhtSfaY48O3CG1JwAAAXXtvAnM2FkdViqMup8','N','*amp*FILTRO_TLA1=N*amp*FILTRO_TLA1_contracteCarrec=*amp*FILTRO_TLA1_referenciaUnica=*amp*FILTRO_TLA1_contracteAbon=*amp*FILTRO_TLA1_indContracteAbon=*amp*TIPUS_CONSULTA=*amp*FILTRO_TLA1_codiDivisa=*amp*FILTRO_TLA1_indicadorEfectiu=*amp*FILTRO_TLA1_oficina=*amp*FILTRO_TLA1_entitat=*amp*FILTRO_TLA1_codiEntitat=*amp*FILTRO_TLA1_importInicial=*amp*FILTRO_TLA1_importFinal=*amp*FILTRO_TLA1_dataInici=*amp*FILTRO_TLA1_dataFin=*amp*FILTRO_TLA1_estat=*amp*FILTRO_TLA1_canal=*amp*FLUJO=UNI,100,:UNI,0,:GFI,7,*amp*LISTA_CUENTAS_IS_INICIO=S*amp*REFVAL_SIMPLE_CLAVE_CONTINUACION_CUENTAS=2mOPDvGIP~jaY48O8Yg_6AAAAXXtvzKyDsc1K_SK_nk*amp*TIPO_LISTADO=T*amp*TIPUS_TRANSFERENCIA=ME*amp*IND_CONTINUACION=*amp*CLAU_CONTINUACION=*amp*PESTANA=TTU','bernat','2mOPDtw7B1vaY48O3DsHWwAAAXXtvAnL9Lwo0vxpEf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6"/>
    <pageSetUpPr autoPageBreaks="0" fitToPage="1"/>
  </sheetPr>
  <dimension ref="A1:K62"/>
  <sheetViews>
    <sheetView showGridLines="0" topLeftCell="A26" zoomScale="90" zoomScaleNormal="90" workbookViewId="0">
      <selection activeCell="C12" sqref="C12"/>
    </sheetView>
  </sheetViews>
  <sheetFormatPr baseColWidth="10" defaultColWidth="8.88671875" defaultRowHeight="14.25"/>
  <cols>
    <col min="1" max="1" width="2.77734375" customWidth="1"/>
    <col min="2" max="2" width="18.44140625" customWidth="1"/>
    <col min="3" max="8" width="17.77734375" customWidth="1"/>
    <col min="9" max="9" width="2.77734375" customWidth="1"/>
    <col min="10" max="10" width="17.77734375" customWidth="1"/>
    <col min="11" max="11" width="13.77734375" customWidth="1"/>
  </cols>
  <sheetData>
    <row r="1" spans="1:11" s="1" customFormat="1" ht="60" customHeight="1">
      <c r="A1"/>
      <c r="B1" s="13" t="str">
        <f>"Enero "&amp;AñoCalendario</f>
        <v>Enero 2026</v>
      </c>
      <c r="C1" s="14"/>
      <c r="D1" s="14"/>
      <c r="E1" s="15"/>
      <c r="F1" s="15"/>
      <c r="G1" s="15"/>
      <c r="H1" s="16"/>
    </row>
    <row r="2" spans="1:11" s="2" customFormat="1" ht="21.75" customHeight="1">
      <c r="A2"/>
      <c r="B2" s="5" t="str">
        <f>IF(InicioDeSemana="DOMINGO", "DOMINGO","LUNES")</f>
        <v>LUNES</v>
      </c>
      <c r="C2" s="5" t="str">
        <f t="shared" ref="C2:H2" si="0">UPPER(TEXT(C3,"dddd"))</f>
        <v>MARTES</v>
      </c>
      <c r="D2" s="5" t="str">
        <f>UPPER(TEXT(D3,"dddd"))</f>
        <v>MIÉRCOLES</v>
      </c>
      <c r="E2" s="5" t="str">
        <f t="shared" si="0"/>
        <v>JUEVES</v>
      </c>
      <c r="F2" s="5" t="str">
        <f t="shared" si="0"/>
        <v>VIERNES</v>
      </c>
      <c r="G2" s="5" t="str">
        <f t="shared" si="0"/>
        <v>SÁBADO</v>
      </c>
      <c r="H2" s="5" t="str">
        <f t="shared" si="0"/>
        <v>DOMINGO</v>
      </c>
      <c r="J2" s="255" t="s">
        <v>1</v>
      </c>
      <c r="K2" s="255"/>
    </row>
    <row r="3" spans="1:11" s="3" customFormat="1" ht="19.5" customHeight="1">
      <c r="A3"/>
      <c r="B3" s="59">
        <f t="array" ref="B3:H3">DaysAndWeeks+DATE(AñoCalendario,1,1)-WEEKDAY(DATE(AñoCalendario,1,1),(InicioDeSemana="LUNES")+1)+1</f>
        <v>46020</v>
      </c>
      <c r="C3" s="59">
        <v>46021</v>
      </c>
      <c r="D3" s="59">
        <v>46022</v>
      </c>
      <c r="E3" s="59">
        <v>46023</v>
      </c>
      <c r="F3" s="59">
        <v>46024</v>
      </c>
      <c r="G3" s="59">
        <v>46025</v>
      </c>
      <c r="H3" s="59">
        <v>46026</v>
      </c>
      <c r="J3" s="6" t="s">
        <v>2</v>
      </c>
      <c r="K3" s="8">
        <v>2026</v>
      </c>
    </row>
    <row r="4" spans="1:11" ht="57.95" customHeight="1">
      <c r="B4" s="59"/>
      <c r="C4" s="59"/>
      <c r="D4" s="59"/>
      <c r="E4" s="59"/>
      <c r="F4" s="59"/>
      <c r="G4" s="59"/>
      <c r="H4" s="59"/>
      <c r="J4" s="9" t="s">
        <v>3</v>
      </c>
      <c r="K4" s="10" t="s">
        <v>4</v>
      </c>
    </row>
    <row r="5" spans="1:11" s="3" customFormat="1" ht="19.5" customHeight="1">
      <c r="A5"/>
      <c r="B5" s="60">
        <f t="array" ref="B5:H5">DaysAndWeeks+DATE(AñoCalendario,1,1)-WEEKDAY(DATE(AñoCalendario,1,1),(InicioDeSemana="LUNES")+1)+8</f>
        <v>46027</v>
      </c>
      <c r="C5" s="60">
        <v>46028</v>
      </c>
      <c r="D5" s="60">
        <v>46029</v>
      </c>
      <c r="E5" s="60">
        <v>46030</v>
      </c>
      <c r="F5" s="60">
        <v>46031</v>
      </c>
      <c r="G5" s="60">
        <v>46032</v>
      </c>
      <c r="H5" s="60">
        <v>46033</v>
      </c>
    </row>
    <row r="6" spans="1:11" ht="80.25" customHeight="1">
      <c r="B6" s="92"/>
      <c r="C6" s="92"/>
      <c r="D6" s="92"/>
      <c r="E6" s="83" t="s">
        <v>347</v>
      </c>
      <c r="F6" s="83" t="s">
        <v>361</v>
      </c>
      <c r="G6" s="89" t="s">
        <v>268</v>
      </c>
      <c r="H6" s="92"/>
      <c r="J6" s="4"/>
    </row>
    <row r="7" spans="1:11" ht="57.95" customHeight="1">
      <c r="B7" s="95"/>
      <c r="C7" s="94"/>
      <c r="D7" s="94"/>
      <c r="E7" s="96" t="s">
        <v>332</v>
      </c>
      <c r="F7" s="94"/>
      <c r="G7" s="94"/>
      <c r="H7" s="92"/>
      <c r="J7" s="4"/>
    </row>
    <row r="8" spans="1:11" s="3" customFormat="1" ht="19.5" customHeight="1">
      <c r="A8"/>
      <c r="B8" s="59">
        <f t="array" ref="B8:H8">DaysAndWeeks+DATE(AñoCalendario,1,1)-WEEKDAY(DATE(AñoCalendario,1,1),(InicioDeSemana="LUNES")+1)+15</f>
        <v>46034</v>
      </c>
      <c r="C8" s="59">
        <v>46035</v>
      </c>
      <c r="D8" s="59">
        <v>46036</v>
      </c>
      <c r="E8" s="59">
        <v>46037</v>
      </c>
      <c r="F8" s="59">
        <v>46038</v>
      </c>
      <c r="G8" s="59">
        <v>46039</v>
      </c>
      <c r="H8" s="59">
        <v>46040</v>
      </c>
      <c r="J8" s="4"/>
    </row>
    <row r="9" spans="1:11" ht="99.75">
      <c r="B9" s="83" t="s">
        <v>335</v>
      </c>
      <c r="C9" s="83" t="s">
        <v>333</v>
      </c>
      <c r="D9" s="83" t="s">
        <v>334</v>
      </c>
      <c r="E9" s="83" t="s">
        <v>342</v>
      </c>
      <c r="F9" s="83" t="s">
        <v>360</v>
      </c>
      <c r="G9" s="89" t="s">
        <v>268</v>
      </c>
      <c r="H9" s="82"/>
    </row>
    <row r="10" spans="1:11" ht="57.95" customHeight="1">
      <c r="B10" s="96" t="s">
        <v>286</v>
      </c>
      <c r="C10" s="96" t="s">
        <v>17</v>
      </c>
      <c r="D10" s="96" t="s">
        <v>331</v>
      </c>
      <c r="E10" s="96" t="s">
        <v>332</v>
      </c>
      <c r="F10" s="96" t="s">
        <v>247</v>
      </c>
      <c r="G10" s="79"/>
      <c r="H10" s="82"/>
    </row>
    <row r="11" spans="1:11" s="3" customFormat="1" ht="19.5" customHeight="1">
      <c r="A11"/>
      <c r="B11" s="60">
        <f t="array" ref="B11:H11">DaysAndWeeks+DATE(AñoCalendario,1,1)-WEEKDAY(DATE(AñoCalendario,1,1),(InicioDeSemana="LUNES")+1)+22</f>
        <v>46041</v>
      </c>
      <c r="C11" s="60">
        <v>46042</v>
      </c>
      <c r="D11" s="60">
        <v>46043</v>
      </c>
      <c r="E11" s="60">
        <v>46044</v>
      </c>
      <c r="F11" s="60">
        <v>46045</v>
      </c>
      <c r="G11" s="60">
        <v>46046</v>
      </c>
      <c r="H11" s="60">
        <v>46047</v>
      </c>
    </row>
    <row r="12" spans="1:11" ht="85.5">
      <c r="B12" s="83" t="s">
        <v>336</v>
      </c>
      <c r="C12" s="83" t="s">
        <v>333</v>
      </c>
      <c r="D12" s="83" t="s">
        <v>337</v>
      </c>
      <c r="E12" s="83" t="s">
        <v>343</v>
      </c>
      <c r="F12" s="83" t="s">
        <v>360</v>
      </c>
      <c r="G12" s="89" t="s">
        <v>268</v>
      </c>
      <c r="H12" s="80"/>
    </row>
    <row r="13" spans="1:11" ht="57.95" customHeight="1">
      <c r="B13" s="96"/>
      <c r="C13" s="96"/>
      <c r="D13" s="96" t="s">
        <v>339</v>
      </c>
      <c r="E13" s="96" t="s">
        <v>332</v>
      </c>
      <c r="F13" s="96" t="s">
        <v>247</v>
      </c>
      <c r="G13" s="97"/>
      <c r="H13" s="80"/>
    </row>
    <row r="14" spans="1:11" s="3" customFormat="1" ht="19.5" customHeight="1">
      <c r="A14"/>
      <c r="B14" s="59">
        <f t="array" ref="B14:H14">DaysAndWeeks+DATE(AñoCalendario,1,1)-WEEKDAY(DATE(AñoCalendario,1,1),(InicioDeSemana="LUNES")+1)+29</f>
        <v>46048</v>
      </c>
      <c r="C14" s="59">
        <v>46049</v>
      </c>
      <c r="D14" s="59">
        <v>46050</v>
      </c>
      <c r="E14" s="59">
        <v>46051</v>
      </c>
      <c r="F14" s="59">
        <v>46052</v>
      </c>
      <c r="G14" s="59">
        <v>46053</v>
      </c>
      <c r="H14" s="59">
        <v>46054</v>
      </c>
    </row>
    <row r="15" spans="1:11" ht="81" customHeight="1">
      <c r="B15" s="83" t="s">
        <v>344</v>
      </c>
      <c r="C15" s="83" t="s">
        <v>341</v>
      </c>
      <c r="D15" s="83" t="s">
        <v>338</v>
      </c>
      <c r="E15" s="83" t="s">
        <v>343</v>
      </c>
      <c r="F15" s="83" t="s">
        <v>360</v>
      </c>
      <c r="G15" s="89" t="s">
        <v>268</v>
      </c>
      <c r="H15" s="59"/>
    </row>
    <row r="16" spans="1:11" ht="57.95" customHeight="1">
      <c r="B16" s="96" t="s">
        <v>286</v>
      </c>
      <c r="C16" s="96"/>
      <c r="D16" s="96" t="s">
        <v>340</v>
      </c>
      <c r="E16" s="96" t="s">
        <v>332</v>
      </c>
      <c r="F16" s="96" t="s">
        <v>247</v>
      </c>
      <c r="G16" s="83"/>
      <c r="H16" s="59"/>
    </row>
    <row r="17" spans="1:8" s="3" customFormat="1" ht="19.5" customHeight="1">
      <c r="A17"/>
      <c r="B17" s="60">
        <f t="array" ref="B17:C17">DaysAndWeeks+DATE(AñoCalendario,1,1)-WEEKDAY(DATE(AñoCalendario,1,1),(InicioDeSemana="LUNES")+1)+36</f>
        <v>46055</v>
      </c>
      <c r="C17" s="60">
        <v>46056</v>
      </c>
      <c r="D17" s="63" t="s">
        <v>0</v>
      </c>
      <c r="E17" s="251"/>
      <c r="F17" s="251"/>
      <c r="G17" s="251"/>
      <c r="H17" s="252"/>
    </row>
    <row r="18" spans="1:8" ht="57.95" customHeight="1">
      <c r="B18" s="60"/>
      <c r="C18" s="60"/>
      <c r="D18" s="7"/>
      <c r="E18" s="253"/>
      <c r="F18" s="253"/>
      <c r="G18" s="253"/>
      <c r="H18" s="254"/>
    </row>
    <row r="27" spans="1:8">
      <c r="C27" s="158"/>
      <c r="D27" s="159"/>
      <c r="E27" s="67" t="s">
        <v>6</v>
      </c>
      <c r="F27" s="169" t="s">
        <v>330</v>
      </c>
    </row>
    <row r="28" spans="1:8" ht="15">
      <c r="C28" s="160"/>
      <c r="D28" s="157" t="s">
        <v>8</v>
      </c>
      <c r="E28" s="67" t="s">
        <v>9</v>
      </c>
      <c r="F28" s="67">
        <f>COUNTIF(B3:H19,"*estel*")</f>
        <v>5</v>
      </c>
      <c r="G28" s="81">
        <v>462.83</v>
      </c>
    </row>
    <row r="29" spans="1:8" ht="15">
      <c r="C29" s="160"/>
      <c r="D29" s="157" t="s">
        <v>263</v>
      </c>
      <c r="E29" s="150" t="s">
        <v>247</v>
      </c>
      <c r="F29" s="67">
        <f>COUNTIF(B3:H19,"*carlos*")</f>
        <v>23</v>
      </c>
      <c r="G29" s="81">
        <f>F29*25</f>
        <v>575</v>
      </c>
    </row>
    <row r="30" spans="1:8" ht="14.25" customHeight="1">
      <c r="C30" s="160"/>
      <c r="D30" s="161" t="s">
        <v>16</v>
      </c>
      <c r="E30" s="67" t="s">
        <v>17</v>
      </c>
      <c r="F30" s="67">
        <f>COUNTIF(B3:H19,"*mario*")</f>
        <v>15</v>
      </c>
      <c r="G30" s="81">
        <v>1035</v>
      </c>
    </row>
    <row r="31" spans="1:8" ht="15">
      <c r="C31" s="160"/>
      <c r="D31" s="162" t="s">
        <v>276</v>
      </c>
      <c r="E31" s="152" t="s">
        <v>252</v>
      </c>
      <c r="F31" s="67">
        <f>COUNTIF(B3:H19,"*julia*")</f>
        <v>3</v>
      </c>
      <c r="G31" s="81">
        <f t="shared" ref="G31:G47" si="1">F31*25</f>
        <v>75</v>
      </c>
    </row>
    <row r="32" spans="1:8" ht="14.25" customHeight="1">
      <c r="C32" s="160"/>
      <c r="D32" s="162" t="s">
        <v>277</v>
      </c>
      <c r="E32" s="164" t="s">
        <v>270</v>
      </c>
      <c r="F32" s="67">
        <f>COUNTIF(B3:H20,"*bruna*")</f>
        <v>2</v>
      </c>
      <c r="G32" s="81">
        <f t="shared" si="1"/>
        <v>50</v>
      </c>
    </row>
    <row r="33" spans="3:7" ht="14.25" customHeight="1">
      <c r="C33" s="160"/>
      <c r="D33" s="167" t="s">
        <v>302</v>
      </c>
      <c r="E33" s="152" t="s">
        <v>244</v>
      </c>
      <c r="F33" s="67">
        <f>COUNTIF(B3:H19,"*richard*")</f>
        <v>10</v>
      </c>
      <c r="G33" s="81">
        <f t="shared" si="1"/>
        <v>250</v>
      </c>
    </row>
    <row r="34" spans="3:7" ht="15">
      <c r="C34" s="160"/>
      <c r="D34" s="162" t="s">
        <v>284</v>
      </c>
      <c r="E34" s="152" t="s">
        <v>240</v>
      </c>
      <c r="F34" s="67">
        <f>COUNTIF(B3:H19,"*Isaac*")</f>
        <v>6</v>
      </c>
      <c r="G34" s="81">
        <f t="shared" si="1"/>
        <v>150</v>
      </c>
    </row>
    <row r="35" spans="3:7" ht="14.25" customHeight="1">
      <c r="C35" s="160"/>
      <c r="D35" s="162" t="s">
        <v>161</v>
      </c>
      <c r="E35" s="152" t="s">
        <v>204</v>
      </c>
      <c r="F35" s="67">
        <f>COUNTIF(B3:H19,"*Mary*")</f>
        <v>17</v>
      </c>
      <c r="G35" s="81">
        <f>F35*25-28</f>
        <v>397</v>
      </c>
    </row>
    <row r="36" spans="3:7" ht="14.25" customHeight="1">
      <c r="C36" s="160"/>
      <c r="D36" s="162" t="s">
        <v>279</v>
      </c>
      <c r="E36" s="152" t="s">
        <v>246</v>
      </c>
      <c r="F36" s="67">
        <f>COUNTIF(B2:H19,"*Jota*")</f>
        <v>17</v>
      </c>
      <c r="G36" s="81">
        <f t="shared" si="1"/>
        <v>425</v>
      </c>
    </row>
    <row r="37" spans="3:7" ht="14.25" customHeight="1">
      <c r="C37" s="160"/>
      <c r="D37" s="162" t="s">
        <v>301</v>
      </c>
      <c r="E37" s="165" t="s">
        <v>289</v>
      </c>
      <c r="F37" s="67">
        <f>COUNTIF(B2:H19,"*xavi*")</f>
        <v>7</v>
      </c>
      <c r="G37" s="81">
        <f>F37*25</f>
        <v>175</v>
      </c>
    </row>
    <row r="38" spans="3:7" ht="14.25" customHeight="1">
      <c r="C38" s="160"/>
      <c r="D38" s="162" t="s">
        <v>282</v>
      </c>
      <c r="E38" s="152" t="s">
        <v>248</v>
      </c>
      <c r="F38" s="67">
        <f>COUNTIF(B2:H19,"*Montse*")</f>
        <v>14</v>
      </c>
      <c r="G38" s="81">
        <f t="shared" si="1"/>
        <v>350</v>
      </c>
    </row>
    <row r="39" spans="3:7" ht="14.25" customHeight="1">
      <c r="C39" s="258" t="s">
        <v>83</v>
      </c>
      <c r="D39" s="258"/>
      <c r="E39" s="152" t="s">
        <v>255</v>
      </c>
      <c r="F39" s="67">
        <f>COUNTIF(B2:H19,"*Raúl*")</f>
        <v>17</v>
      </c>
      <c r="G39" s="81">
        <f>F39*25-49</f>
        <v>376</v>
      </c>
    </row>
    <row r="40" spans="3:7" ht="15">
      <c r="C40" s="160"/>
      <c r="D40" s="162" t="s">
        <v>280</v>
      </c>
      <c r="E40" s="152" t="s">
        <v>254</v>
      </c>
      <c r="F40" s="67">
        <f>COUNTIF(B2:H19,"*Noemi*")</f>
        <v>4</v>
      </c>
      <c r="G40" s="81">
        <f>F40*25</f>
        <v>100</v>
      </c>
    </row>
    <row r="41" spans="3:7" ht="15">
      <c r="C41" s="160"/>
      <c r="D41" s="162" t="s">
        <v>283</v>
      </c>
      <c r="E41" s="152" t="s">
        <v>239</v>
      </c>
      <c r="F41" s="67">
        <f>COUNTIF(B2:H19,"*Manuela*")</f>
        <v>3</v>
      </c>
      <c r="G41" s="81">
        <f t="shared" si="1"/>
        <v>75</v>
      </c>
    </row>
    <row r="42" spans="3:7" ht="15">
      <c r="C42" s="160"/>
      <c r="D42" s="163" t="s">
        <v>18</v>
      </c>
      <c r="E42" s="152" t="s">
        <v>245</v>
      </c>
      <c r="F42" s="67">
        <f>COUNTIF(B2:H19,"*Laura*")</f>
        <v>6</v>
      </c>
      <c r="G42" s="81">
        <f t="shared" si="1"/>
        <v>150</v>
      </c>
    </row>
    <row r="43" spans="3:7" ht="15">
      <c r="C43" s="258" t="s">
        <v>95</v>
      </c>
      <c r="D43" s="258"/>
      <c r="E43" s="152" t="s">
        <v>90</v>
      </c>
      <c r="F43" s="67">
        <f>COUNTIF(B2:I18,"*Nuria*")</f>
        <v>8</v>
      </c>
      <c r="G43" s="81">
        <f t="shared" si="1"/>
        <v>200</v>
      </c>
    </row>
    <row r="44" spans="3:7" ht="15">
      <c r="C44" s="259" t="s">
        <v>264</v>
      </c>
      <c r="D44" s="259"/>
      <c r="E44" s="152" t="s">
        <v>256</v>
      </c>
      <c r="F44" s="67">
        <f>COUNTIF(B2:I19,"*Alex*")</f>
        <v>8</v>
      </c>
      <c r="G44" s="81">
        <f t="shared" si="1"/>
        <v>200</v>
      </c>
    </row>
    <row r="45" spans="3:7" ht="15">
      <c r="C45" s="160"/>
      <c r="D45" s="162" t="s">
        <v>300</v>
      </c>
      <c r="E45" s="166" t="s">
        <v>297</v>
      </c>
      <c r="F45" s="67">
        <f>COUNTIF(B2:H18,"*arnau*")</f>
        <v>6</v>
      </c>
      <c r="G45" s="81">
        <f t="shared" si="1"/>
        <v>150</v>
      </c>
    </row>
    <row r="46" spans="3:7" ht="15">
      <c r="C46" s="160"/>
      <c r="D46" s="162" t="s">
        <v>168</v>
      </c>
      <c r="E46" s="152" t="s">
        <v>257</v>
      </c>
      <c r="F46" s="67">
        <f>COUNTIF(B2:H19,"*asencio*")</f>
        <v>4</v>
      </c>
      <c r="G46" s="81">
        <f t="shared" si="1"/>
        <v>100</v>
      </c>
    </row>
    <row r="47" spans="3:7" ht="15">
      <c r="C47" s="160"/>
      <c r="D47" s="163"/>
      <c r="E47" s="152" t="s">
        <v>185</v>
      </c>
      <c r="F47" s="67">
        <f>COUNTIF(B2:H19,"*Mateo*")</f>
        <v>0</v>
      </c>
      <c r="G47">
        <f t="shared" si="1"/>
        <v>0</v>
      </c>
    </row>
    <row r="48" spans="3:7" ht="15">
      <c r="C48" s="160"/>
      <c r="D48" s="163"/>
      <c r="E48" s="152" t="s">
        <v>258</v>
      </c>
      <c r="F48" s="67">
        <f>COUNTIF(B2:H19,"*Eric*")</f>
        <v>0</v>
      </c>
      <c r="G48" s="81">
        <v>742</v>
      </c>
    </row>
    <row r="49" spans="3:7" ht="15">
      <c r="C49" s="160"/>
      <c r="D49" s="163"/>
      <c r="E49" s="152" t="s">
        <v>259</v>
      </c>
      <c r="F49" s="67">
        <f>COUNTIF(B2:H19,"*Shamil*")</f>
        <v>0</v>
      </c>
      <c r="G49" s="81">
        <v>300</v>
      </c>
    </row>
    <row r="50" spans="3:7" ht="15">
      <c r="C50" s="160"/>
      <c r="D50" s="163"/>
      <c r="E50" s="171" t="s">
        <v>346</v>
      </c>
      <c r="F50" s="67">
        <v>0</v>
      </c>
      <c r="G50" s="81">
        <v>450</v>
      </c>
    </row>
    <row r="51" spans="3:7" ht="14.25" customHeight="1">
      <c r="C51" s="160"/>
      <c r="D51" s="162" t="s">
        <v>278</v>
      </c>
      <c r="E51" s="152" t="s">
        <v>242</v>
      </c>
      <c r="F51" s="67">
        <f>COUNTIF(B2:H19,"*Salva*")</f>
        <v>17</v>
      </c>
      <c r="G51" s="81">
        <f>F51*25</f>
        <v>425</v>
      </c>
    </row>
    <row r="52" spans="3:7" ht="15">
      <c r="C52" s="160"/>
      <c r="D52" s="162" t="s">
        <v>307</v>
      </c>
      <c r="E52" s="165" t="s">
        <v>290</v>
      </c>
      <c r="F52" s="67">
        <f>COUNTIF(B2:H19,"*torralba*")</f>
        <v>9</v>
      </c>
      <c r="G52" s="81">
        <f>F52*15</f>
        <v>135</v>
      </c>
    </row>
    <row r="53" spans="3:7" ht="15">
      <c r="C53" s="258" t="s">
        <v>237</v>
      </c>
      <c r="D53" s="258"/>
      <c r="E53" s="67" t="s">
        <v>26</v>
      </c>
      <c r="F53" s="67">
        <f>COUNTIF(B2:H19,"*Lolo*")</f>
        <v>7</v>
      </c>
      <c r="G53" s="81">
        <f>F53*25</f>
        <v>175</v>
      </c>
    </row>
    <row r="54" spans="3:7" ht="15">
      <c r="C54" s="258"/>
      <c r="D54" s="258"/>
      <c r="E54" s="153" t="s">
        <v>265</v>
      </c>
      <c r="F54" s="67">
        <f>COUNTIF(B2:H19,"*ishtar*")</f>
        <v>3</v>
      </c>
      <c r="G54">
        <f>F54*15</f>
        <v>45</v>
      </c>
    </row>
    <row r="55" spans="3:7">
      <c r="C55" s="256" t="s">
        <v>18</v>
      </c>
      <c r="D55" s="256"/>
      <c r="E55" s="153" t="s">
        <v>266</v>
      </c>
      <c r="F55" s="67">
        <f>COUNTIF(B2:H19,"*matias*")</f>
        <v>4</v>
      </c>
      <c r="G55" s="81">
        <f t="shared" ref="G55:G57" si="2">F55*15</f>
        <v>60</v>
      </c>
    </row>
    <row r="56" spans="3:7">
      <c r="C56" s="256"/>
      <c r="D56" s="256"/>
      <c r="E56" s="153" t="s">
        <v>267</v>
      </c>
      <c r="F56" s="67">
        <f>COUNTIF(B2:H19,"*amanda*")</f>
        <v>3</v>
      </c>
      <c r="G56">
        <v>0</v>
      </c>
    </row>
    <row r="57" spans="3:7">
      <c r="C57" s="170"/>
      <c r="D57" s="172" t="s">
        <v>18</v>
      </c>
      <c r="E57" s="171" t="s">
        <v>304</v>
      </c>
      <c r="F57" s="67">
        <f>COUNTIF(B3:H20,"*iria*")</f>
        <v>4</v>
      </c>
      <c r="G57">
        <f t="shared" si="2"/>
        <v>60</v>
      </c>
    </row>
    <row r="58" spans="3:7">
      <c r="C58" s="257"/>
      <c r="D58" s="257"/>
      <c r="E58" s="171" t="s">
        <v>345</v>
      </c>
      <c r="F58" s="67">
        <f>COUNTIF(B3:H20,"*manolo*")</f>
        <v>4</v>
      </c>
      <c r="G58" s="81">
        <f>F58*25</f>
        <v>100</v>
      </c>
    </row>
    <row r="59" spans="3:7">
      <c r="C59" s="154"/>
      <c r="D59" s="154"/>
      <c r="E59" s="204" t="s">
        <v>275</v>
      </c>
      <c r="F59" s="67">
        <f>COUNTIF(B4:H21,"*berta*")</f>
        <v>2</v>
      </c>
      <c r="G59" s="81">
        <f>F59*10</f>
        <v>20</v>
      </c>
    </row>
    <row r="60" spans="3:7">
      <c r="D60" s="66"/>
      <c r="E60" s="152" t="s">
        <v>260</v>
      </c>
      <c r="F60" s="67"/>
      <c r="G60">
        <v>1000</v>
      </c>
    </row>
    <row r="61" spans="3:7">
      <c r="D61" s="77"/>
      <c r="E61" s="78" t="s">
        <v>28</v>
      </c>
      <c r="F61" s="77">
        <f>SUM(F28:F53)</f>
        <v>208</v>
      </c>
      <c r="G61">
        <f>SUM(G28:G60)</f>
        <v>8807.83</v>
      </c>
    </row>
    <row r="62" spans="3:7">
      <c r="C62" s="88"/>
    </row>
  </sheetData>
  <mergeCells count="10">
    <mergeCell ref="E17:H18"/>
    <mergeCell ref="J2:K2"/>
    <mergeCell ref="C55:D55"/>
    <mergeCell ref="C56:D56"/>
    <mergeCell ref="C58:D58"/>
    <mergeCell ref="C39:D39"/>
    <mergeCell ref="C43:D43"/>
    <mergeCell ref="C44:D44"/>
    <mergeCell ref="C53:D53"/>
    <mergeCell ref="C54:D54"/>
  </mergeCells>
  <phoneticPr fontId="45" type="noConversion"/>
  <conditionalFormatting sqref="B17:D17">
    <cfRule type="expression" dxfId="59" priority="1">
      <formula>AND(DAY(B17)&gt;=1,DAY(B17)&lt;=15)</formula>
    </cfRule>
  </conditionalFormatting>
  <conditionalFormatting sqref="B3:G3">
    <cfRule type="expression" dxfId="58" priority="24">
      <formula>DAY(B3)&gt;8</formula>
    </cfRule>
  </conditionalFormatting>
  <conditionalFormatting sqref="B14:H14">
    <cfRule type="expression" dxfId="57" priority="25">
      <formula>AND(DAY(B14)&gt;=1,DAY(B14)&lt;=15)</formula>
    </cfRule>
  </conditionalFormatting>
  <dataValidations count="14">
    <dataValidation type="list" errorStyle="warning" allowBlank="1" showInputMessage="1" showErrorMessage="1" error="Seleccione un día de la lista. Seleccione Cancelar y, después, presione ALT + Flecha abajo para seleccionar el día de la lista desplegable" prompt="Escriba el día de inicio de la semana en esta celda. Presione ALT+FLECHA ABAJO para abrir la lista desplegable y luego, ENTRAR para seleccionar el día de inicio de la semana." sqref="K4" xr:uid="{00000000-0002-0000-0000-000000000000}">
      <formula1>"DOMINGO,LUNES"</formula1>
    </dataValidation>
    <dataValidation allowBlank="1" showInputMessage="1" showErrorMessage="1" prompt="Cree calendarios de un mes personalizados en este libro. Personalice el año y el día de inicio de la semana para todos los meses de esta hoja de cálculo de enero. Cada mes se encuentra en una hoja de cálculo independiente." sqref="A1" xr:uid="{00000000-0002-0000-0000-000001000000}"/>
    <dataValidation allowBlank="1" showInputMessage="1" showErrorMessage="1" prompt="Escriba el año y seleccione el día de inicio del calendario en las celdas siguientes. Estas celdas de configuración del calendario no se imprimirán." sqref="J2" xr:uid="{00000000-0002-0000-0000-000003000000}"/>
    <dataValidation allowBlank="1" showInputMessage="1" showErrorMessage="1" prompt="Escriba el año en la celda a la derecha" sqref="J3" xr:uid="{00000000-0002-0000-0000-000004000000}"/>
    <dataValidation allowBlank="1" showInputMessage="1" showErrorMessage="1" prompt="Seleccione el día de inicio de la semana en la celda a la derecha." sqref="J4" xr:uid="{00000000-0002-0000-0000-000005000000}"/>
    <dataValidation allowBlank="1" showInputMessage="1" showErrorMessage="1" prompt="Escriba el año en esta celda" sqref="K3" xr:uid="{00000000-0002-0000-0000-000006000000}"/>
    <dataValidation allowBlank="1" showInputMessage="1" showErrorMessage="1" prompt="Esta fila contiene los nombres de los días laborables de este calendario. Esta celda contiene el día de inicio de la semana. Para cambiar el día de inicio, escriba un nuevo día laborable en la celda K4." sqref="B2" xr:uid="{00000000-0002-0000-0000-000007000000}"/>
    <dataValidation allowBlank="1" showInputMessage="1" showErrorMessage="1" prompt="Esta fila y las filas 5, 7, 9, 11 y 13 contienen días naturales de la semana. Si esta celda no contiene el número 1, se trata de un día del mes anterior. Escriba notas en la celda E13." sqref="B3" xr:uid="{00000000-0002-0000-0000-000008000000}"/>
    <dataValidation allowBlank="1" showErrorMessage="1" prompt="El año de esta celda se actualiza automáticamente según el año especificado en la celda K2. El calendario siguiente incluye fechas de los meses anterior y posterior con un sombreado de fuente más claro." sqref="B1" xr:uid="{00000000-0002-0000-0000-000009000000}"/>
    <dataValidation allowBlank="1" showInputMessage="1" showErrorMessage="1" prompt="El día de la semana se determinará automáticamente" sqref="C2:H2" xr:uid="{00000000-0002-0000-0000-00000A000000}"/>
    <dataValidation allowBlank="1" showInputMessage="1" showErrorMessage="1" prompt="Las celdas de esta fila y las filas 6, 8, 10, 12 y 14 son para escribir notas diarias relacionadas con el día natural de la celda anterior." sqref="B4 B10 B16" xr:uid="{00000000-0002-0000-0000-00000B000000}"/>
    <dataValidation allowBlank="1" showInputMessage="1" showErrorMessage="1" prompt="Escriba notas en esta celda." sqref="E17:H18" xr:uid="{00000000-0002-0000-0000-00000C000000}"/>
    <dataValidation allowBlank="1" showInputMessage="1" showErrorMessage="1" prompt="Escriba notas en la celda a la derecha." sqref="D17:D18" xr:uid="{00000000-0002-0000-0000-00000D000000}"/>
    <dataValidation allowBlank="1" showInputMessage="1" showErrorMessage="1" prompt="El año en esta celda se actualiza automáticamente. Seleccione otro año en la celda K3 para cambiar el año" sqref="C1" xr:uid="{68DB1B5F-672F-42EA-B173-279D18DF96BF}"/>
  </dataValidations>
  <printOptions horizontalCentered="1" verticalCentered="1"/>
  <pageMargins left="0.7" right="0.7" top="0.75" bottom="0.75" header="0.3" footer="0.3"/>
  <pageSetup paperSize="9" scale="64" orientation="landscape" r:id="rId1"/>
  <headerFooter differentFirst="1" alignWithMargins="0">
    <oddFooter>Page &amp;P of &amp;N</oddFooter>
  </headerFooter>
  <customProperties>
    <customPr name="SheetChanged" r:id="rId2"/>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6" tint="0.39997558519241921"/>
    <pageSetUpPr fitToPage="1"/>
  </sheetPr>
  <dimension ref="A1:J61"/>
  <sheetViews>
    <sheetView showGridLines="0" topLeftCell="A18" zoomScale="90" zoomScaleNormal="90" workbookViewId="0">
      <selection activeCell="E15" sqref="E15"/>
    </sheetView>
  </sheetViews>
  <sheetFormatPr baseColWidth="10" defaultColWidth="8.88671875" defaultRowHeight="14.25"/>
  <cols>
    <col min="1" max="1" width="2.77734375" customWidth="1"/>
    <col min="2" max="2" width="18.44140625" customWidth="1"/>
    <col min="3" max="7" width="17.77734375" customWidth="1"/>
    <col min="8" max="8" width="9.33203125" customWidth="1"/>
    <col min="9" max="9" width="2.77734375" customWidth="1"/>
    <col min="10" max="10" width="10.6640625" customWidth="1"/>
  </cols>
  <sheetData>
    <row r="1" spans="1:8" s="1" customFormat="1" ht="59.25" customHeight="1">
      <c r="A1"/>
      <c r="B1" s="21" t="str">
        <f>"Febrero "&amp;AñoCalendario</f>
        <v>Febrero 2026</v>
      </c>
      <c r="C1" s="22"/>
      <c r="D1" s="22"/>
      <c r="E1" s="23"/>
      <c r="F1" s="23"/>
      <c r="G1" s="23"/>
      <c r="H1" s="24"/>
    </row>
    <row r="2" spans="1:8" s="2" customFormat="1" ht="21.75" customHeight="1">
      <c r="A2"/>
      <c r="B2" s="5" t="str">
        <f>IF(InicioDeSemana="DOMINGO", "DOMINGO","LUNES")</f>
        <v>LUNES</v>
      </c>
      <c r="C2" s="5" t="str">
        <f t="shared" ref="C2:H2" si="0">UPPER(TEXT(C3,"dddd"))</f>
        <v>MARTES</v>
      </c>
      <c r="D2" s="5" t="str">
        <f t="shared" si="0"/>
        <v>MIÉRCOLES</v>
      </c>
      <c r="E2" s="5" t="str">
        <f t="shared" si="0"/>
        <v>JUEVES</v>
      </c>
      <c r="F2" s="5" t="str">
        <f t="shared" si="0"/>
        <v>VIERNES</v>
      </c>
      <c r="G2" s="5" t="str">
        <f t="shared" si="0"/>
        <v>SÁBADO</v>
      </c>
      <c r="H2" s="5" t="str">
        <f t="shared" si="0"/>
        <v>DOMINGO</v>
      </c>
    </row>
    <row r="3" spans="1:8" s="3" customFormat="1" ht="19.5" customHeight="1">
      <c r="A3"/>
      <c r="B3" s="59">
        <f t="array" ref="B3:H3">DaysAndWeeks+DATE(AñoCalendario,2,1)-WEEKDAY(DATE(AñoCalendario,2,1),(InicioDeSemana="LUNES")+1)+1</f>
        <v>46048</v>
      </c>
      <c r="C3" s="59">
        <v>46049</v>
      </c>
      <c r="D3" s="59">
        <v>46050</v>
      </c>
      <c r="E3" s="59">
        <v>46051</v>
      </c>
      <c r="F3" s="59">
        <v>46052</v>
      </c>
      <c r="G3" s="59">
        <v>46053</v>
      </c>
      <c r="H3" s="59">
        <v>46054</v>
      </c>
    </row>
    <row r="4" spans="1:8" ht="57.95" customHeight="1">
      <c r="B4" s="59"/>
      <c r="C4" s="59"/>
      <c r="D4" s="59"/>
      <c r="E4" s="59"/>
      <c r="F4" s="59"/>
      <c r="G4" s="59"/>
      <c r="H4" s="59"/>
    </row>
    <row r="5" spans="1:8" s="3" customFormat="1" ht="11.25" customHeight="1">
      <c r="A5"/>
      <c r="B5" s="60">
        <f t="array" ref="B5:H5">DaysAndWeeks+DATE(AñoCalendario,2,1)-WEEKDAY(DATE(AñoCalendario,2,1),(InicioDeSemana="LUNES")+1)+8</f>
        <v>46055</v>
      </c>
      <c r="C5" s="60">
        <v>46056</v>
      </c>
      <c r="D5" s="60">
        <v>46057</v>
      </c>
      <c r="E5" s="60">
        <v>46058</v>
      </c>
      <c r="F5" s="60">
        <v>46059</v>
      </c>
      <c r="G5" s="60">
        <v>46060</v>
      </c>
      <c r="H5" s="60">
        <v>46061</v>
      </c>
    </row>
    <row r="6" spans="1:8" ht="87" customHeight="1">
      <c r="B6" s="83" t="s">
        <v>359</v>
      </c>
      <c r="C6" s="83" t="s">
        <v>341</v>
      </c>
      <c r="D6" s="83" t="s">
        <v>337</v>
      </c>
      <c r="E6" s="83" t="s">
        <v>348</v>
      </c>
      <c r="F6" s="83" t="s">
        <v>360</v>
      </c>
      <c r="G6" s="89" t="s">
        <v>268</v>
      </c>
      <c r="H6" s="60"/>
    </row>
    <row r="7" spans="1:8" ht="61.5" customHeight="1">
      <c r="B7" s="96"/>
      <c r="C7" s="96" t="s">
        <v>17</v>
      </c>
      <c r="D7" s="96" t="s">
        <v>331</v>
      </c>
      <c r="E7" s="96" t="s">
        <v>332</v>
      </c>
      <c r="F7" s="96" t="s">
        <v>247</v>
      </c>
      <c r="G7" s="83"/>
      <c r="H7" s="60"/>
    </row>
    <row r="8" spans="1:8" s="3" customFormat="1" ht="37.5" customHeight="1">
      <c r="A8"/>
      <c r="B8" s="59">
        <f t="array" ref="B8:H8">DaysAndWeeks+DATE(AñoCalendario,2,1)-WEEKDAY(DATE(AñoCalendario,2,1),(InicioDeSemana="LUNES")+1)+15</f>
        <v>46062</v>
      </c>
      <c r="C8" s="59">
        <v>46063</v>
      </c>
      <c r="D8" s="59">
        <v>46064</v>
      </c>
      <c r="E8" s="59">
        <v>46065</v>
      </c>
      <c r="F8" s="59">
        <v>46066</v>
      </c>
      <c r="G8" s="59">
        <v>46067</v>
      </c>
      <c r="H8" s="59">
        <v>46068</v>
      </c>
    </row>
    <row r="9" spans="1:8" ht="93" customHeight="1">
      <c r="B9" s="83" t="s">
        <v>358</v>
      </c>
      <c r="C9" s="83" t="s">
        <v>354</v>
      </c>
      <c r="D9" s="83" t="s">
        <v>366</v>
      </c>
      <c r="E9" s="83" t="s">
        <v>343</v>
      </c>
      <c r="F9" s="83" t="s">
        <v>360</v>
      </c>
      <c r="G9" s="89" t="s">
        <v>268</v>
      </c>
      <c r="H9" s="59"/>
    </row>
    <row r="10" spans="1:8" ht="61.5" customHeight="1">
      <c r="B10" s="96" t="s">
        <v>286</v>
      </c>
      <c r="C10" s="96" t="s">
        <v>17</v>
      </c>
      <c r="D10" s="96" t="s">
        <v>331</v>
      </c>
      <c r="E10" s="96" t="s">
        <v>332</v>
      </c>
      <c r="F10" s="96" t="s">
        <v>247</v>
      </c>
      <c r="G10" s="83"/>
      <c r="H10" s="59"/>
    </row>
    <row r="11" spans="1:8" s="3" customFormat="1" ht="26.25" customHeight="1">
      <c r="A11"/>
      <c r="B11" s="60">
        <f t="array" ref="B11:H11">DaysAndWeeks+DATE(AñoCalendario,2,1)-WEEKDAY(DATE(AñoCalendario,2,1),(InicioDeSemana="LUNES")+1)+22</f>
        <v>46069</v>
      </c>
      <c r="C11" s="60">
        <v>46070</v>
      </c>
      <c r="D11" s="60">
        <v>46071</v>
      </c>
      <c r="E11" s="60">
        <v>46072</v>
      </c>
      <c r="F11" s="60">
        <v>46073</v>
      </c>
      <c r="G11" s="60">
        <v>46074</v>
      </c>
      <c r="H11" s="60">
        <v>46075</v>
      </c>
    </row>
    <row r="12" spans="1:8" ht="61.5" customHeight="1">
      <c r="B12" s="83" t="s">
        <v>355</v>
      </c>
      <c r="C12" s="83" t="s">
        <v>354</v>
      </c>
      <c r="D12" s="83" t="s">
        <v>349</v>
      </c>
      <c r="E12" s="83" t="s">
        <v>343</v>
      </c>
      <c r="F12" s="83" t="s">
        <v>360</v>
      </c>
      <c r="G12" s="89" t="s">
        <v>268</v>
      </c>
      <c r="H12" s="60"/>
    </row>
    <row r="13" spans="1:8" ht="61.5" customHeight="1">
      <c r="B13" s="96" t="s">
        <v>353</v>
      </c>
      <c r="C13" s="96" t="s">
        <v>17</v>
      </c>
      <c r="D13" s="96" t="s">
        <v>331</v>
      </c>
      <c r="E13" s="96" t="s">
        <v>332</v>
      </c>
      <c r="F13" s="96" t="s">
        <v>247</v>
      </c>
      <c r="G13" s="83"/>
      <c r="H13" s="60"/>
    </row>
    <row r="14" spans="1:8" s="3" customFormat="1" ht="15.75" customHeight="1">
      <c r="A14"/>
      <c r="B14" s="59">
        <f t="array" ref="B14:H14">DaysAndWeeks+DATE(AñoCalendario,2,1)-WEEKDAY(DATE(AñoCalendario,2,1),(InicioDeSemana="LUNES")+1)+29</f>
        <v>46076</v>
      </c>
      <c r="C14" s="59">
        <v>46077</v>
      </c>
      <c r="D14" s="59">
        <v>46078</v>
      </c>
      <c r="E14" s="59">
        <v>46079</v>
      </c>
      <c r="F14" s="59">
        <v>46080</v>
      </c>
      <c r="G14" s="59">
        <v>46081</v>
      </c>
      <c r="H14" s="59">
        <v>46082</v>
      </c>
    </row>
    <row r="15" spans="1:8" ht="87" customHeight="1">
      <c r="B15" s="83" t="s">
        <v>351</v>
      </c>
      <c r="C15" s="83" t="s">
        <v>352</v>
      </c>
      <c r="D15" s="83" t="s">
        <v>349</v>
      </c>
      <c r="E15" s="83" t="s">
        <v>343</v>
      </c>
      <c r="F15" s="83" t="s">
        <v>365</v>
      </c>
      <c r="G15" s="89" t="s">
        <v>268</v>
      </c>
      <c r="H15" s="59"/>
    </row>
    <row r="16" spans="1:8" ht="61.5" customHeight="1">
      <c r="B16" s="96" t="s">
        <v>286</v>
      </c>
      <c r="C16" s="96" t="s">
        <v>17</v>
      </c>
      <c r="D16" s="96" t="s">
        <v>331</v>
      </c>
      <c r="E16" s="96" t="s">
        <v>332</v>
      </c>
      <c r="F16" s="96" t="s">
        <v>17</v>
      </c>
      <c r="G16" s="83"/>
      <c r="H16" s="59"/>
    </row>
    <row r="17" spans="1:8" s="3" customFormat="1" ht="19.5" customHeight="1">
      <c r="A17"/>
      <c r="B17" s="60">
        <f t="array" ref="B17:C17">DaysAndWeeks+DATE(AñoCalendario,2,1)-WEEKDAY(DATE(AñoCalendario,2,1),(InicioDeSemana="LUNES")+1)+36</f>
        <v>46083</v>
      </c>
      <c r="C17" s="60">
        <v>46084</v>
      </c>
      <c r="D17" s="63" t="s">
        <v>0</v>
      </c>
      <c r="E17" s="251"/>
      <c r="F17" s="251"/>
      <c r="G17" s="251"/>
      <c r="H17" s="252"/>
    </row>
    <row r="18" spans="1:8" ht="57.95" customHeight="1">
      <c r="B18" s="60"/>
      <c r="C18" s="60"/>
      <c r="D18" s="7"/>
      <c r="E18" s="253"/>
      <c r="F18" s="253"/>
      <c r="G18" s="253"/>
      <c r="H18" s="254"/>
    </row>
    <row r="27" spans="1:8" ht="14.25" customHeight="1">
      <c r="D27" s="158"/>
      <c r="E27" s="159"/>
      <c r="F27" s="67" t="s">
        <v>6</v>
      </c>
      <c r="G27" s="173" t="s">
        <v>350</v>
      </c>
    </row>
    <row r="28" spans="1:8" ht="15">
      <c r="D28" s="160"/>
      <c r="E28" s="157" t="s">
        <v>8</v>
      </c>
      <c r="F28" s="67" t="s">
        <v>9</v>
      </c>
      <c r="G28" s="67">
        <v>2</v>
      </c>
      <c r="H28" s="81">
        <v>462</v>
      </c>
    </row>
    <row r="29" spans="1:8" ht="14.25" customHeight="1">
      <c r="D29" s="160"/>
      <c r="E29" s="157" t="s">
        <v>263</v>
      </c>
      <c r="F29" s="150" t="s">
        <v>247</v>
      </c>
      <c r="G29" s="67">
        <f>COUNTIF(B3:H19,"*carlos*")</f>
        <v>26</v>
      </c>
      <c r="H29" s="81">
        <v>650</v>
      </c>
    </row>
    <row r="30" spans="1:8" ht="14.25" customHeight="1">
      <c r="D30" s="160"/>
      <c r="E30" s="161" t="s">
        <v>16</v>
      </c>
      <c r="F30" s="67" t="s">
        <v>17</v>
      </c>
      <c r="G30" s="67">
        <f>COUNTIF(B3:H19,"*mario*")</f>
        <v>24</v>
      </c>
      <c r="H30" s="81">
        <v>1037</v>
      </c>
    </row>
    <row r="31" spans="1:8" ht="15">
      <c r="D31" s="160"/>
      <c r="E31" s="162" t="s">
        <v>276</v>
      </c>
      <c r="F31" s="152" t="s">
        <v>252</v>
      </c>
      <c r="G31" s="67">
        <f>COUNTIF(B3:H19,"*julia*")</f>
        <v>3</v>
      </c>
      <c r="H31" s="81">
        <v>75</v>
      </c>
    </row>
    <row r="32" spans="1:8" ht="14.25" customHeight="1">
      <c r="D32" s="160"/>
      <c r="E32" s="162" t="s">
        <v>277</v>
      </c>
      <c r="F32" s="164" t="s">
        <v>270</v>
      </c>
      <c r="G32" s="67">
        <f>COUNTIF(B3:H19,"*bruna*")</f>
        <v>3</v>
      </c>
      <c r="H32" s="81">
        <v>75</v>
      </c>
    </row>
    <row r="33" spans="4:10" ht="15">
      <c r="D33" s="160"/>
      <c r="E33" s="167" t="s">
        <v>302</v>
      </c>
      <c r="F33" s="152" t="s">
        <v>244</v>
      </c>
      <c r="G33" s="174">
        <f>COUNTIF(B3:H19,"*richard*")</f>
        <v>12</v>
      </c>
      <c r="H33" s="81">
        <v>300</v>
      </c>
    </row>
    <row r="34" spans="4:10" ht="14.25" customHeight="1">
      <c r="D34" s="160"/>
      <c r="E34" s="162" t="s">
        <v>284</v>
      </c>
      <c r="F34" s="152" t="s">
        <v>240</v>
      </c>
      <c r="G34" s="174">
        <f>COUNTIF(B4:H20,"*isaac*")</f>
        <v>8</v>
      </c>
      <c r="H34" s="81">
        <v>200</v>
      </c>
    </row>
    <row r="35" spans="4:10" ht="14.25" customHeight="1">
      <c r="D35" s="160"/>
      <c r="E35" s="162" t="s">
        <v>161</v>
      </c>
      <c r="F35" s="152" t="s">
        <v>204</v>
      </c>
      <c r="G35" s="174">
        <f>COUNTIF(B5:H21,"*mary*")</f>
        <v>19</v>
      </c>
      <c r="H35" s="81">
        <v>447</v>
      </c>
    </row>
    <row r="36" spans="4:10" ht="14.25" customHeight="1">
      <c r="D36" s="160"/>
      <c r="E36" s="162" t="s">
        <v>279</v>
      </c>
      <c r="F36" s="152" t="s">
        <v>246</v>
      </c>
      <c r="G36" s="174">
        <f>COUNTIF(B6:H22,"*jota*")</f>
        <v>20</v>
      </c>
      <c r="H36" s="81">
        <v>500</v>
      </c>
    </row>
    <row r="37" spans="4:10" ht="14.25" customHeight="1">
      <c r="D37" s="160"/>
      <c r="E37" s="162" t="s">
        <v>301</v>
      </c>
      <c r="F37" s="165" t="s">
        <v>289</v>
      </c>
      <c r="G37" s="174">
        <f>COUNTIF(B7:H23,"*xavi*")</f>
        <v>5</v>
      </c>
      <c r="H37" s="81">
        <v>175</v>
      </c>
    </row>
    <row r="38" spans="4:10" ht="15">
      <c r="D38" s="160"/>
      <c r="E38" s="162" t="s">
        <v>282</v>
      </c>
      <c r="F38" s="152" t="s">
        <v>248</v>
      </c>
      <c r="G38" s="174">
        <f>COUNTIF(B8:H24,"*montse*")</f>
        <v>12</v>
      </c>
      <c r="H38" s="81">
        <v>375</v>
      </c>
    </row>
    <row r="39" spans="4:10" ht="15">
      <c r="D39" s="258" t="s">
        <v>83</v>
      </c>
      <c r="E39" s="258"/>
      <c r="F39" s="152" t="s">
        <v>255</v>
      </c>
      <c r="G39" s="174">
        <f>COUNTIF(B3:H17,"*raúl*")</f>
        <v>19</v>
      </c>
      <c r="H39" s="81">
        <f>G39*25-56</f>
        <v>419</v>
      </c>
    </row>
    <row r="40" spans="4:10" ht="15">
      <c r="D40" s="160"/>
      <c r="E40" s="162" t="s">
        <v>280</v>
      </c>
      <c r="F40" s="152" t="s">
        <v>254</v>
      </c>
      <c r="G40" s="174">
        <f>COUNTIF(B4:H18,"*noemi*")</f>
        <v>4</v>
      </c>
      <c r="H40" s="81">
        <v>100</v>
      </c>
    </row>
    <row r="41" spans="4:10" ht="15">
      <c r="D41" s="160"/>
      <c r="E41" s="162" t="s">
        <v>283</v>
      </c>
      <c r="F41" s="152" t="s">
        <v>239</v>
      </c>
      <c r="G41" s="174">
        <f>COUNTIF(B5:H19,"*manuela*")</f>
        <v>4</v>
      </c>
      <c r="H41" s="81">
        <v>100</v>
      </c>
    </row>
    <row r="42" spans="4:10" ht="15">
      <c r="D42" s="160"/>
      <c r="E42" s="163" t="s">
        <v>18</v>
      </c>
      <c r="F42" s="152" t="s">
        <v>245</v>
      </c>
      <c r="G42" s="174">
        <f>COUNTIF(B5:H19,"*Laura*")</f>
        <v>6</v>
      </c>
      <c r="H42">
        <v>175</v>
      </c>
      <c r="J42">
        <f>175/7*6</f>
        <v>150</v>
      </c>
    </row>
    <row r="43" spans="4:10" ht="15">
      <c r="D43" s="258" t="s">
        <v>95</v>
      </c>
      <c r="E43" s="258"/>
      <c r="F43" s="152" t="s">
        <v>90</v>
      </c>
      <c r="G43" s="174">
        <f>COUNTIF(B7:H21,"*nuria*")</f>
        <v>7</v>
      </c>
      <c r="H43" s="81">
        <v>200</v>
      </c>
    </row>
    <row r="44" spans="4:10" ht="15">
      <c r="D44" s="259" t="s">
        <v>264</v>
      </c>
      <c r="E44" s="259"/>
      <c r="F44" s="152" t="s">
        <v>256</v>
      </c>
      <c r="G44" s="174">
        <f>COUNTIF(B8:H22,"*alex*")</f>
        <v>6</v>
      </c>
      <c r="H44" s="81">
        <v>200</v>
      </c>
    </row>
    <row r="45" spans="4:10" ht="15">
      <c r="D45" s="160"/>
      <c r="E45" s="162" t="s">
        <v>300</v>
      </c>
      <c r="F45" s="166" t="s">
        <v>297</v>
      </c>
      <c r="G45" s="174">
        <f>COUNTIF(B9:H23,"*arnau*")</f>
        <v>3</v>
      </c>
      <c r="H45" s="81">
        <v>125</v>
      </c>
    </row>
    <row r="46" spans="4:10" ht="15">
      <c r="D46" s="160"/>
      <c r="E46" s="162" t="s">
        <v>168</v>
      </c>
      <c r="F46" s="152" t="s">
        <v>257</v>
      </c>
      <c r="G46" s="67">
        <f>COUNTIF(B3:H17,"*asencio*")</f>
        <v>4</v>
      </c>
      <c r="H46" s="81">
        <v>100</v>
      </c>
    </row>
    <row r="47" spans="4:10" ht="15">
      <c r="D47" s="160"/>
      <c r="E47" s="163"/>
      <c r="F47" s="152" t="s">
        <v>258</v>
      </c>
      <c r="G47" s="67">
        <v>0</v>
      </c>
      <c r="H47" s="81">
        <v>640</v>
      </c>
    </row>
    <row r="48" spans="4:10" ht="15">
      <c r="D48" s="160"/>
      <c r="E48" s="163"/>
      <c r="F48" s="152" t="s">
        <v>259</v>
      </c>
      <c r="G48" s="67">
        <v>0</v>
      </c>
      <c r="H48" s="81">
        <v>300</v>
      </c>
    </row>
    <row r="49" spans="4:8" ht="15">
      <c r="D49" s="160"/>
      <c r="E49" s="163"/>
      <c r="F49" s="171" t="s">
        <v>346</v>
      </c>
      <c r="G49" s="67">
        <v>0</v>
      </c>
      <c r="H49" s="81">
        <v>713</v>
      </c>
    </row>
    <row r="50" spans="4:8" ht="15">
      <c r="D50" s="160"/>
      <c r="E50" s="162" t="s">
        <v>278</v>
      </c>
      <c r="F50" s="152" t="s">
        <v>242</v>
      </c>
      <c r="G50" s="67">
        <f>COUNTIF(B3:H17,"*salva*")</f>
        <v>20</v>
      </c>
      <c r="H50" s="81">
        <v>500</v>
      </c>
    </row>
    <row r="51" spans="4:8" ht="15">
      <c r="D51" s="160"/>
      <c r="E51" s="162" t="s">
        <v>307</v>
      </c>
      <c r="F51" s="165" t="s">
        <v>290</v>
      </c>
      <c r="G51" s="67">
        <f>COUNTIF(B3:H17,"*torralba*")</f>
        <v>11</v>
      </c>
      <c r="H51" s="81">
        <v>105</v>
      </c>
    </row>
    <row r="52" spans="4:8" ht="15">
      <c r="D52" s="258" t="s">
        <v>237</v>
      </c>
      <c r="E52" s="258"/>
      <c r="F52" s="67" t="s">
        <v>26</v>
      </c>
      <c r="G52" s="67">
        <f>COUNTIF(B3:H17,"*Lolo*")</f>
        <v>8</v>
      </c>
      <c r="H52" s="81">
        <v>200</v>
      </c>
    </row>
    <row r="53" spans="4:8" ht="15">
      <c r="D53" s="258"/>
      <c r="E53" s="258"/>
      <c r="F53" s="153" t="s">
        <v>265</v>
      </c>
      <c r="G53" s="67">
        <f>COUNTIF(B3:H17,"*Ishtar*")</f>
        <v>3</v>
      </c>
      <c r="H53">
        <v>45</v>
      </c>
    </row>
    <row r="54" spans="4:8">
      <c r="D54" s="256" t="s">
        <v>18</v>
      </c>
      <c r="E54" s="256"/>
      <c r="F54" s="153" t="s">
        <v>266</v>
      </c>
      <c r="G54" s="67">
        <f>COUNTIF(B3:H17,"*Matias*")</f>
        <v>4</v>
      </c>
      <c r="H54">
        <v>60</v>
      </c>
    </row>
    <row r="55" spans="4:8">
      <c r="D55" s="256"/>
      <c r="E55" s="256"/>
      <c r="F55" s="153" t="s">
        <v>267</v>
      </c>
      <c r="G55" s="67">
        <f>COUNTIF(B3:H17,"*amanda*")</f>
        <v>3</v>
      </c>
      <c r="H55">
        <v>0</v>
      </c>
    </row>
    <row r="56" spans="4:8">
      <c r="D56" s="170"/>
      <c r="E56" s="172" t="s">
        <v>18</v>
      </c>
      <c r="F56" s="171" t="s">
        <v>304</v>
      </c>
      <c r="G56" s="67">
        <f>COUNTIF(B3:H17,"*Iria*")</f>
        <v>4</v>
      </c>
      <c r="H56" s="81">
        <v>60</v>
      </c>
    </row>
    <row r="57" spans="4:8">
      <c r="D57" s="257"/>
      <c r="E57" s="257"/>
      <c r="F57" s="171" t="s">
        <v>345</v>
      </c>
      <c r="G57" s="67">
        <f>COUNTIF(B3:H17,"*Manolo*")</f>
        <v>9</v>
      </c>
      <c r="H57" s="81">
        <v>225</v>
      </c>
    </row>
    <row r="58" spans="4:8">
      <c r="D58" s="154"/>
      <c r="E58" s="154"/>
      <c r="F58" s="174" t="s">
        <v>356</v>
      </c>
      <c r="G58" s="67">
        <f>COUNTIF(B3:H17,"*Ingrid*")</f>
        <v>4</v>
      </c>
    </row>
    <row r="59" spans="4:8">
      <c r="D59" s="154"/>
      <c r="E59" s="154"/>
      <c r="F59" s="174" t="s">
        <v>357</v>
      </c>
      <c r="G59" s="67">
        <f>COUNTIF(B3:H17,"*Berta*")</f>
        <v>2</v>
      </c>
      <c r="H59">
        <f>10*G59</f>
        <v>20</v>
      </c>
    </row>
    <row r="60" spans="4:8">
      <c r="E60" s="66"/>
      <c r="F60" s="152" t="s">
        <v>260</v>
      </c>
      <c r="G60" s="67"/>
      <c r="H60" s="81">
        <v>945</v>
      </c>
    </row>
    <row r="61" spans="4:8">
      <c r="E61" s="77"/>
      <c r="F61" s="78" t="s">
        <v>28</v>
      </c>
      <c r="G61" s="77">
        <f>SUM(G28:G52)</f>
        <v>226</v>
      </c>
      <c r="H61">
        <f>SUM(H28:H60)</f>
        <v>9528</v>
      </c>
    </row>
  </sheetData>
  <mergeCells count="9">
    <mergeCell ref="D53:E53"/>
    <mergeCell ref="D54:E54"/>
    <mergeCell ref="D55:E55"/>
    <mergeCell ref="D57:E57"/>
    <mergeCell ref="E17:H18"/>
    <mergeCell ref="D39:E39"/>
    <mergeCell ref="D43:E43"/>
    <mergeCell ref="D44:E44"/>
    <mergeCell ref="D52:E52"/>
  </mergeCells>
  <conditionalFormatting sqref="B17:D17">
    <cfRule type="expression" dxfId="56" priority="1">
      <formula>AND(DAY(B17)&gt;=1,DAY(B17)&lt;=15)</formula>
    </cfRule>
  </conditionalFormatting>
  <conditionalFormatting sqref="B3:G3">
    <cfRule type="expression" dxfId="55" priority="3">
      <formula>DAY(B3)&gt;8</formula>
    </cfRule>
  </conditionalFormatting>
  <conditionalFormatting sqref="B14:H14">
    <cfRule type="expression" dxfId="54" priority="4">
      <formula>AND(DAY(B14)&gt;=1,DAY(B14)&lt;=15)</formula>
    </cfRule>
  </conditionalFormatting>
  <dataValidations disablePrompts="1" count="9">
    <dataValidation allowBlank="1" showInputMessage="1" showErrorMessage="1" prompt="El día de la semana se determinará automáticamente" sqref="C2:H2" xr:uid="{00000000-0002-0000-0100-000000000000}"/>
    <dataValidation allowBlank="1" showErrorMessage="1" prompt="El año de esta celda se actualiza automáticamente según el año especificado en la hoja de cálculo de Enero. El calendario siguiente incluye fechas de los meses anterior y posterior con un sombreado de fuente más claro." sqref="B1" xr:uid="{00000000-0002-0000-0100-000001000000}"/>
    <dataValidation allowBlank="1" showInputMessage="1" showErrorMessage="1" prompt="Esta fila y las filas 5, 7, 9, 11 y 13 contienen días naturales de la semana. Si esta celda no contiene el número 1, se trata de un día del mes anterior. Escriba notas en la celda E13." sqref="B3" xr:uid="{00000000-0002-0000-0100-000002000000}"/>
    <dataValidation allowBlank="1" showInputMessage="1" showErrorMessage="1" prompt="Esta fila contiene los nombres de los días laborables de este calendario. Esta celda contiene el día de inicio de la semana. Para cambiar el día de inicio, escriba un nuevo día laborable en la celda K4 de la hoja de cálculo Enero." sqref="B2" xr:uid="{00000000-0002-0000-0100-000003000000}"/>
    <dataValidation allowBlank="1" showInputMessage="1" showErrorMessage="1" prompt="Calendario del mes de febrero" sqref="A1" xr:uid="{00000000-0002-0000-0100-000005000000}"/>
    <dataValidation allowBlank="1" showInputMessage="1" showErrorMessage="1" prompt="Escriba notas en la celda a la derecha." sqref="D17:D18" xr:uid="{00000000-0002-0000-0100-000006000000}"/>
    <dataValidation allowBlank="1" showInputMessage="1" showErrorMessage="1" prompt="Escriba notas en esta celda." sqref="E17:H18" xr:uid="{00000000-0002-0000-0100-000007000000}"/>
    <dataValidation allowBlank="1" showInputMessage="1" showErrorMessage="1" prompt="Las celdas de esta fila y las filas 6, 8, 10, 12 y 14 son para escribir notas diarias relacionadas con el día natural de la celda anterior." sqref="B4 B7 B10 B13 B16" xr:uid="{00000000-0002-0000-0100-000008000000}"/>
    <dataValidation allowBlank="1" showInputMessage="1" showErrorMessage="1" prompt="El año en esta celda se actualiza automáticamente. Seleccione otro año en la celda K3 de la hoja de cálculo Enero para cambiar el año" sqref="C1" xr:uid="{B76B5EE0-7A31-4E98-9046-DEB20A06C325}"/>
  </dataValidations>
  <printOptions horizontalCentered="1" verticalCentered="1"/>
  <pageMargins left="0.7" right="0.7" top="0.75" bottom="0.75" header="0.3" footer="0.3"/>
  <pageSetup paperSize="9" scale="83" fitToHeight="0" orientation="landscape" r:id="rId1"/>
  <headerFooter differentFirst="1">
    <oddFooter>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4" tint="0.39997558519241921"/>
    <pageSetUpPr fitToPage="1"/>
  </sheetPr>
  <dimension ref="B1:J58"/>
  <sheetViews>
    <sheetView showGridLines="0" topLeftCell="A22" zoomScale="90" zoomScaleNormal="90" workbookViewId="0">
      <selection activeCell="G44" sqref="G44"/>
    </sheetView>
  </sheetViews>
  <sheetFormatPr baseColWidth="10" defaultColWidth="8.88671875" defaultRowHeight="14.25"/>
  <cols>
    <col min="1" max="1" width="2.77734375" customWidth="1"/>
    <col min="2" max="2" width="18.44140625" customWidth="1"/>
    <col min="3" max="8" width="17.77734375" customWidth="1"/>
    <col min="9" max="9" width="6.109375" bestFit="1" customWidth="1"/>
    <col min="10" max="10" width="10.6640625" customWidth="1"/>
  </cols>
  <sheetData>
    <row r="1" spans="2:8" ht="59.25" customHeight="1">
      <c r="B1" s="27" t="str">
        <f>"Marzo "&amp;AñoCalendario</f>
        <v>Marzo 2026</v>
      </c>
      <c r="C1" s="28"/>
      <c r="D1" s="28"/>
      <c r="E1" s="29"/>
      <c r="F1" s="29"/>
      <c r="G1" s="29"/>
      <c r="H1" s="30"/>
    </row>
    <row r="2" spans="2:8" ht="21.75" customHeight="1">
      <c r="B2" s="5" t="str">
        <f>IF(InicioDeSemana="DOMINGO", "DOMINGO","LUNES")</f>
        <v>LUNES</v>
      </c>
      <c r="C2" s="5" t="str">
        <f t="shared" ref="C2:H2" si="0">UPPER(TEXT(C3,"dddd"))</f>
        <v>MARTES</v>
      </c>
      <c r="D2" s="5" t="str">
        <f t="shared" si="0"/>
        <v>MIÉRCOLES</v>
      </c>
      <c r="E2" s="5" t="str">
        <f t="shared" si="0"/>
        <v>JUEVES</v>
      </c>
      <c r="F2" s="5" t="str">
        <f t="shared" si="0"/>
        <v>VIERNES</v>
      </c>
      <c r="G2" s="5" t="str">
        <f t="shared" si="0"/>
        <v>SÁBADO</v>
      </c>
      <c r="H2" s="5" t="str">
        <f t="shared" si="0"/>
        <v>DOMINGO</v>
      </c>
    </row>
    <row r="3" spans="2:8" ht="19.5" customHeight="1">
      <c r="B3" s="59">
        <f t="array" ref="B3:H3">DaysAndWeeks+DATE(AñoCalendario,3,1)-WEEKDAY(DATE(AñoCalendario,3,1),(InicioDeSemana="LUNES")+1)+1</f>
        <v>46076</v>
      </c>
      <c r="C3" s="59">
        <v>46077</v>
      </c>
      <c r="D3" s="59">
        <v>46078</v>
      </c>
      <c r="E3" s="59">
        <v>46079</v>
      </c>
      <c r="F3" s="59">
        <v>46080</v>
      </c>
      <c r="G3" s="59">
        <v>46081</v>
      </c>
      <c r="H3" s="59">
        <v>46082</v>
      </c>
    </row>
    <row r="4" spans="2:8" ht="57.95" customHeight="1">
      <c r="B4" s="62"/>
      <c r="C4" s="62"/>
      <c r="D4" s="62"/>
      <c r="E4" s="62"/>
      <c r="F4" s="62"/>
      <c r="G4" s="62"/>
      <c r="H4" s="59"/>
    </row>
    <row r="5" spans="2:8" ht="19.5" customHeight="1">
      <c r="B5" s="60">
        <f t="array" ref="B5:H5">DaysAndWeeks+DATE(AñoCalendario,3,1)-WEEKDAY(DATE(AñoCalendario,3,1),(InicioDeSemana="LUNES")+1)+8</f>
        <v>46083</v>
      </c>
      <c r="C5" s="60">
        <v>46084</v>
      </c>
      <c r="D5" s="60">
        <v>46085</v>
      </c>
      <c r="E5" s="60">
        <v>46086</v>
      </c>
      <c r="F5" s="60">
        <v>46087</v>
      </c>
      <c r="G5" s="60">
        <v>46088</v>
      </c>
      <c r="H5" s="60">
        <v>46089</v>
      </c>
    </row>
    <row r="6" spans="2:8" ht="57.95" customHeight="1">
      <c r="B6" s="83" t="s">
        <v>370</v>
      </c>
      <c r="C6" s="83" t="s">
        <v>372</v>
      </c>
      <c r="D6" s="83" t="s">
        <v>363</v>
      </c>
      <c r="E6" s="83" t="s">
        <v>364</v>
      </c>
      <c r="F6" s="83" t="s">
        <v>360</v>
      </c>
      <c r="G6" s="89" t="s">
        <v>268</v>
      </c>
      <c r="H6" s="60"/>
    </row>
    <row r="7" spans="2:8" ht="57.95" customHeight="1">
      <c r="B7" s="96" t="s">
        <v>362</v>
      </c>
      <c r="C7" s="96" t="s">
        <v>17</v>
      </c>
      <c r="D7" s="96" t="s">
        <v>331</v>
      </c>
      <c r="E7" s="96" t="s">
        <v>332</v>
      </c>
      <c r="F7" s="96" t="s">
        <v>247</v>
      </c>
      <c r="G7" s="83"/>
      <c r="H7" s="60"/>
    </row>
    <row r="8" spans="2:8" ht="19.5" customHeight="1">
      <c r="B8" s="59">
        <f t="array" ref="B8:H8">DaysAndWeeks+DATE(AñoCalendario,3,1)-WEEKDAY(DATE(AñoCalendario,3,1),(InicioDeSemana="LUNES")+1)+15</f>
        <v>46090</v>
      </c>
      <c r="C8" s="59">
        <v>46091</v>
      </c>
      <c r="D8" s="59">
        <v>46092</v>
      </c>
      <c r="E8" s="59">
        <v>46093</v>
      </c>
      <c r="F8" s="59">
        <v>46094</v>
      </c>
      <c r="G8" s="59">
        <v>46095</v>
      </c>
      <c r="H8" s="59">
        <v>46096</v>
      </c>
    </row>
    <row r="9" spans="2:8" ht="57.95" customHeight="1">
      <c r="B9" s="83" t="s">
        <v>370</v>
      </c>
      <c r="C9" s="83" t="s">
        <v>372</v>
      </c>
      <c r="D9" s="83" t="s">
        <v>363</v>
      </c>
      <c r="E9" s="83" t="s">
        <v>368</v>
      </c>
      <c r="F9" s="83" t="s">
        <v>360</v>
      </c>
      <c r="G9" s="89" t="s">
        <v>268</v>
      </c>
      <c r="H9" s="59"/>
    </row>
    <row r="10" spans="2:8" ht="57.95" customHeight="1">
      <c r="B10" s="96" t="s">
        <v>362</v>
      </c>
      <c r="C10" s="96" t="s">
        <v>17</v>
      </c>
      <c r="D10" s="96" t="s">
        <v>331</v>
      </c>
      <c r="E10" s="96" t="s">
        <v>332</v>
      </c>
      <c r="F10" s="96" t="s">
        <v>247</v>
      </c>
      <c r="G10" s="83"/>
      <c r="H10" s="59"/>
    </row>
    <row r="11" spans="2:8" ht="19.5" customHeight="1">
      <c r="B11" s="60">
        <f t="array" ref="B11:H11">DaysAndWeeks+DATE(AñoCalendario,3,1)-WEEKDAY(DATE(AñoCalendario,3,1),(InicioDeSemana="LUNES")+1)+22</f>
        <v>46097</v>
      </c>
      <c r="C11" s="60">
        <v>46098</v>
      </c>
      <c r="D11" s="60">
        <v>46099</v>
      </c>
      <c r="E11" s="60">
        <v>46100</v>
      </c>
      <c r="F11" s="60">
        <v>46101</v>
      </c>
      <c r="G11" s="60">
        <v>46102</v>
      </c>
      <c r="H11" s="60">
        <v>46103</v>
      </c>
    </row>
    <row r="12" spans="2:8" ht="57.95" customHeight="1">
      <c r="B12" s="83" t="s">
        <v>371</v>
      </c>
      <c r="C12" s="83" t="s">
        <v>372</v>
      </c>
      <c r="D12" s="83" t="s">
        <v>363</v>
      </c>
      <c r="E12" s="83" t="s">
        <v>364</v>
      </c>
      <c r="F12" s="83" t="s">
        <v>360</v>
      </c>
      <c r="G12" s="89" t="s">
        <v>268</v>
      </c>
      <c r="H12" s="60"/>
    </row>
    <row r="13" spans="2:8" ht="57.95" customHeight="1">
      <c r="B13" s="96" t="s">
        <v>369</v>
      </c>
      <c r="C13" s="96" t="s">
        <v>17</v>
      </c>
      <c r="D13" s="96" t="s">
        <v>331</v>
      </c>
      <c r="E13" s="96" t="s">
        <v>332</v>
      </c>
      <c r="F13" s="96" t="s">
        <v>247</v>
      </c>
      <c r="G13" s="83"/>
      <c r="H13" s="60"/>
    </row>
    <row r="14" spans="2:8" ht="19.5" customHeight="1">
      <c r="B14" s="59">
        <f t="array" ref="B14:H14">DaysAndWeeks+DATE(AñoCalendario,3,1)-WEEKDAY(DATE(AñoCalendario,3,1),(InicioDeSemana="LUNES")+1)+29</f>
        <v>46104</v>
      </c>
      <c r="C14" s="59">
        <v>46105</v>
      </c>
      <c r="D14" s="59">
        <v>46106</v>
      </c>
      <c r="E14" s="59">
        <v>46107</v>
      </c>
      <c r="F14" s="59">
        <v>46108</v>
      </c>
      <c r="G14" s="59">
        <v>46109</v>
      </c>
      <c r="H14" s="59">
        <v>46110</v>
      </c>
    </row>
    <row r="15" spans="2:8" ht="57.95" customHeight="1">
      <c r="B15" s="83" t="s">
        <v>370</v>
      </c>
      <c r="C15" s="83" t="s">
        <v>372</v>
      </c>
      <c r="D15" s="83" t="s">
        <v>363</v>
      </c>
      <c r="E15" s="83" t="s">
        <v>364</v>
      </c>
      <c r="F15" s="83" t="s">
        <v>360</v>
      </c>
      <c r="G15" s="89" t="s">
        <v>268</v>
      </c>
      <c r="H15" s="59"/>
    </row>
    <row r="16" spans="2:8" ht="57.95" customHeight="1">
      <c r="B16" s="96" t="s">
        <v>362</v>
      </c>
      <c r="C16" s="96" t="s">
        <v>17</v>
      </c>
      <c r="D16" s="96" t="s">
        <v>331</v>
      </c>
      <c r="E16" s="96" t="s">
        <v>332</v>
      </c>
      <c r="F16" s="96" t="s">
        <v>247</v>
      </c>
      <c r="G16" s="83"/>
      <c r="H16" s="59"/>
    </row>
    <row r="17" spans="2:10" ht="19.5" customHeight="1">
      <c r="B17" s="60">
        <f t="array" ref="B17:C17">DaysAndWeeks+DATE(AñoCalendario,3,1)-WEEKDAY(DATE(AñoCalendario,3,1),(InicioDeSemana="LUNES")+1)+36</f>
        <v>46111</v>
      </c>
      <c r="C17" s="60">
        <v>46112</v>
      </c>
      <c r="D17" s="63" t="s">
        <v>0</v>
      </c>
      <c r="E17" s="251"/>
      <c r="F17" s="251"/>
      <c r="G17" s="251"/>
      <c r="H17" s="252"/>
    </row>
    <row r="18" spans="2:10" ht="57.95" customHeight="1">
      <c r="B18" s="83"/>
      <c r="C18" s="60"/>
      <c r="D18" s="7"/>
      <c r="E18" s="253"/>
      <c r="F18" s="253"/>
      <c r="G18" s="253"/>
      <c r="H18" s="254"/>
    </row>
    <row r="19" spans="2:10">
      <c r="B19" s="143"/>
    </row>
    <row r="25" spans="2:10">
      <c r="F25" s="158"/>
      <c r="G25" s="159"/>
      <c r="H25" s="67" t="s">
        <v>6</v>
      </c>
      <c r="I25" s="169" t="s">
        <v>330</v>
      </c>
    </row>
    <row r="26" spans="2:10" ht="15">
      <c r="F26" s="160"/>
      <c r="G26" s="157" t="s">
        <v>8</v>
      </c>
      <c r="H26" s="67" t="s">
        <v>9</v>
      </c>
      <c r="I26" s="67">
        <f>COUNTIF(E1:K17,"*estel*")</f>
        <v>0</v>
      </c>
      <c r="J26" s="81">
        <v>345.95</v>
      </c>
    </row>
    <row r="27" spans="2:10" ht="15">
      <c r="F27" s="160"/>
      <c r="G27" s="157" t="s">
        <v>263</v>
      </c>
      <c r="H27" s="150" t="s">
        <v>247</v>
      </c>
      <c r="I27" s="67">
        <f>COUNTIF(B1:K17,"*carlos*")</f>
        <v>28</v>
      </c>
      <c r="J27" s="81">
        <f>I27*25</f>
        <v>700</v>
      </c>
    </row>
    <row r="28" spans="2:10" ht="15">
      <c r="F28" s="160"/>
      <c r="G28" s="161" t="s">
        <v>16</v>
      </c>
      <c r="H28" s="67" t="s">
        <v>17</v>
      </c>
      <c r="I28" s="67">
        <f>COUNTIF(B1:H20,"*mario*")</f>
        <v>24</v>
      </c>
      <c r="J28" s="81">
        <v>1036.3900000000001</v>
      </c>
    </row>
    <row r="29" spans="2:10" ht="14.25" customHeight="1">
      <c r="F29" s="160"/>
      <c r="G29" s="162" t="s">
        <v>276</v>
      </c>
      <c r="H29" s="152" t="s">
        <v>252</v>
      </c>
      <c r="I29" s="67">
        <f>COUNTIF(B1:H20,"*julia*")</f>
        <v>4</v>
      </c>
      <c r="J29" s="81">
        <f t="shared" ref="J29:J44" si="1">I29*25</f>
        <v>100</v>
      </c>
    </row>
    <row r="30" spans="2:10" ht="15">
      <c r="F30" s="160"/>
      <c r="G30" s="162" t="s">
        <v>277</v>
      </c>
      <c r="H30" s="164" t="s">
        <v>270</v>
      </c>
      <c r="I30" s="67">
        <f>COUNTIF(B1:H21,"*bruna*")</f>
        <v>4</v>
      </c>
      <c r="J30" s="81">
        <f t="shared" si="1"/>
        <v>100</v>
      </c>
    </row>
    <row r="31" spans="2:10" ht="14.25" customHeight="1">
      <c r="F31" s="160"/>
      <c r="G31" s="167" t="s">
        <v>302</v>
      </c>
      <c r="H31" s="152" t="s">
        <v>244</v>
      </c>
      <c r="I31" s="67">
        <f>COUNTIF(B3:K17,"*richard*")</f>
        <v>12</v>
      </c>
      <c r="J31" s="81">
        <f t="shared" si="1"/>
        <v>300</v>
      </c>
    </row>
    <row r="32" spans="2:10" ht="14.25" customHeight="1">
      <c r="F32" s="160"/>
      <c r="G32" s="162" t="s">
        <v>284</v>
      </c>
      <c r="H32" s="152" t="s">
        <v>240</v>
      </c>
      <c r="I32" s="67">
        <f>COUNTIF(B3:H19,"*Isaac*")</f>
        <v>8</v>
      </c>
      <c r="J32" s="81">
        <f t="shared" si="1"/>
        <v>200</v>
      </c>
    </row>
    <row r="33" spans="6:10" ht="15">
      <c r="F33" s="160"/>
      <c r="G33" s="162" t="s">
        <v>161</v>
      </c>
      <c r="H33" s="152" t="s">
        <v>204</v>
      </c>
      <c r="I33" s="67">
        <f>COUNTIF(B3:H19,"*Mary*")</f>
        <v>20</v>
      </c>
      <c r="J33" s="81">
        <f>I33*25-28</f>
        <v>472</v>
      </c>
    </row>
    <row r="34" spans="6:10" ht="14.25" customHeight="1">
      <c r="F34" s="160"/>
      <c r="G34" s="162" t="s">
        <v>279</v>
      </c>
      <c r="H34" s="152" t="s">
        <v>246</v>
      </c>
      <c r="I34" s="67">
        <f>COUNTIF(B3:H19,"*Jota*")</f>
        <v>20</v>
      </c>
      <c r="J34" s="81">
        <f t="shared" si="1"/>
        <v>500</v>
      </c>
    </row>
    <row r="35" spans="6:10" ht="15">
      <c r="F35" s="160"/>
      <c r="G35" s="162" t="s">
        <v>367</v>
      </c>
      <c r="H35" s="165" t="s">
        <v>289</v>
      </c>
      <c r="I35" s="67">
        <f>COUNTIF(B3:H19,"*Xavi*")</f>
        <v>8</v>
      </c>
      <c r="J35" s="81">
        <f>I35*25</f>
        <v>200</v>
      </c>
    </row>
    <row r="36" spans="6:10" ht="14.25" customHeight="1">
      <c r="F36" s="160"/>
      <c r="G36" s="162" t="s">
        <v>282</v>
      </c>
      <c r="H36" s="152" t="s">
        <v>248</v>
      </c>
      <c r="I36" s="67">
        <v>14</v>
      </c>
      <c r="J36" s="81">
        <f t="shared" si="1"/>
        <v>350</v>
      </c>
    </row>
    <row r="37" spans="6:10" ht="14.25" customHeight="1">
      <c r="F37" s="258" t="s">
        <v>83</v>
      </c>
      <c r="G37" s="258"/>
      <c r="H37" s="152" t="s">
        <v>255</v>
      </c>
      <c r="I37" s="67">
        <f>COUNTIF(B3:H19,"*Raúl*")</f>
        <v>20</v>
      </c>
      <c r="J37" s="81">
        <f>I37*25-49</f>
        <v>451</v>
      </c>
    </row>
    <row r="38" spans="6:10" ht="14.25" customHeight="1">
      <c r="F38" s="160"/>
      <c r="G38" s="162" t="s">
        <v>280</v>
      </c>
      <c r="H38" s="152" t="s">
        <v>254</v>
      </c>
      <c r="I38" s="67">
        <f>COUNTIF(B3:H19,"*Noemi*")</f>
        <v>4</v>
      </c>
      <c r="J38" s="81">
        <f>I38*25</f>
        <v>100</v>
      </c>
    </row>
    <row r="39" spans="6:10" ht="14.25" customHeight="1">
      <c r="F39" s="160"/>
      <c r="G39" s="162" t="s">
        <v>283</v>
      </c>
      <c r="H39" s="152" t="s">
        <v>239</v>
      </c>
      <c r="I39" s="67">
        <f>COUNTIF(B3:H19,"*Manuela*")</f>
        <v>4</v>
      </c>
      <c r="J39" s="81">
        <f t="shared" si="1"/>
        <v>100</v>
      </c>
    </row>
    <row r="40" spans="6:10" ht="15">
      <c r="F40" s="160"/>
      <c r="G40" s="163" t="s">
        <v>18</v>
      </c>
      <c r="H40" s="152" t="s">
        <v>245</v>
      </c>
      <c r="I40" s="67">
        <f>COUNTIF(B3:H19,"*Laura*")</f>
        <v>8</v>
      </c>
      <c r="J40">
        <f t="shared" si="1"/>
        <v>200</v>
      </c>
    </row>
    <row r="41" spans="6:10" ht="15" customHeight="1">
      <c r="F41" s="258" t="s">
        <v>95</v>
      </c>
      <c r="G41" s="258"/>
      <c r="H41" s="152" t="s">
        <v>90</v>
      </c>
      <c r="I41" s="67">
        <f>COUNTIF(B3:H19,"*Nuria*")</f>
        <v>8</v>
      </c>
      <c r="J41" s="81">
        <f t="shared" si="1"/>
        <v>200</v>
      </c>
    </row>
    <row r="42" spans="6:10" ht="15">
      <c r="F42" s="259" t="s">
        <v>264</v>
      </c>
      <c r="G42" s="259"/>
      <c r="H42" s="152" t="s">
        <v>256</v>
      </c>
      <c r="I42" s="67">
        <f>COUNTIF(B3:H19,"*Alex*")</f>
        <v>8</v>
      </c>
      <c r="J42">
        <f t="shared" si="1"/>
        <v>200</v>
      </c>
    </row>
    <row r="43" spans="6:10" ht="15">
      <c r="F43" s="160"/>
      <c r="G43" s="162" t="s">
        <v>300</v>
      </c>
      <c r="H43" s="166" t="s">
        <v>297</v>
      </c>
      <c r="I43" s="67">
        <f>COUNTIF(B3:H19,"*Arnau*")</f>
        <v>4</v>
      </c>
      <c r="J43" s="81">
        <f t="shared" si="1"/>
        <v>100</v>
      </c>
    </row>
    <row r="44" spans="6:10" ht="15">
      <c r="F44" s="160"/>
      <c r="G44" s="162" t="s">
        <v>168</v>
      </c>
      <c r="H44" s="152" t="s">
        <v>257</v>
      </c>
      <c r="I44" s="67">
        <f>COUNTIF(B3:H19,"*Asencio*")</f>
        <v>4</v>
      </c>
      <c r="J44" s="81">
        <f t="shared" si="1"/>
        <v>100</v>
      </c>
    </row>
    <row r="45" spans="6:10" ht="15">
      <c r="F45" s="160"/>
      <c r="G45" s="163"/>
      <c r="H45" s="152" t="s">
        <v>258</v>
      </c>
      <c r="I45" s="67">
        <v>0</v>
      </c>
      <c r="J45">
        <v>1040.6500000000001</v>
      </c>
    </row>
    <row r="46" spans="6:10" s="179" customFormat="1" ht="15">
      <c r="F46" s="175"/>
      <c r="G46" s="176"/>
      <c r="H46" s="177" t="s">
        <v>259</v>
      </c>
      <c r="I46" s="178">
        <v>0</v>
      </c>
      <c r="J46" s="180">
        <v>300</v>
      </c>
    </row>
    <row r="47" spans="6:10" ht="15">
      <c r="F47" s="160"/>
      <c r="G47" s="162" t="s">
        <v>278</v>
      </c>
      <c r="H47" s="152" t="s">
        <v>242</v>
      </c>
      <c r="I47" s="67">
        <f>COUNTIF(B3:H19,"*Salva*")</f>
        <v>20</v>
      </c>
      <c r="J47" s="81">
        <f>I47*25</f>
        <v>500</v>
      </c>
    </row>
    <row r="48" spans="6:10" ht="15" customHeight="1">
      <c r="F48" s="160"/>
      <c r="G48" s="162" t="s">
        <v>307</v>
      </c>
      <c r="H48" s="165" t="s">
        <v>290</v>
      </c>
      <c r="I48" s="67">
        <f>COUNTIF(B3:H19,"*Torralba*")</f>
        <v>12</v>
      </c>
      <c r="J48" s="81">
        <f>I48*15</f>
        <v>180</v>
      </c>
    </row>
    <row r="49" spans="6:10" ht="15">
      <c r="F49" s="258" t="s">
        <v>237</v>
      </c>
      <c r="G49" s="258"/>
      <c r="H49" s="67" t="s">
        <v>26</v>
      </c>
      <c r="I49" s="67">
        <f>COUNTIF(B3:H19,"*Lolo*")</f>
        <v>8</v>
      </c>
      <c r="J49" s="81">
        <f>I49*25</f>
        <v>200</v>
      </c>
    </row>
    <row r="50" spans="6:10" ht="15">
      <c r="F50" s="258"/>
      <c r="G50" s="258"/>
      <c r="H50" s="153" t="s">
        <v>265</v>
      </c>
      <c r="I50" s="67">
        <f>COUNTIF(B3:H19,"*Ishtar*")</f>
        <v>4</v>
      </c>
      <c r="J50">
        <f>I50*15</f>
        <v>60</v>
      </c>
    </row>
    <row r="51" spans="6:10">
      <c r="F51" s="256" t="s">
        <v>18</v>
      </c>
      <c r="G51" s="256"/>
      <c r="H51" s="153" t="s">
        <v>266</v>
      </c>
      <c r="I51" s="67">
        <f>COUNTIF(B3:H19,"*Matias*")</f>
        <v>3</v>
      </c>
      <c r="J51" s="81">
        <f t="shared" ref="J51:J53" si="2">I51*15</f>
        <v>45</v>
      </c>
    </row>
    <row r="52" spans="6:10">
      <c r="F52" s="256"/>
      <c r="G52" s="256"/>
      <c r="H52" s="153" t="s">
        <v>267</v>
      </c>
      <c r="I52" s="67">
        <f>COUNTIF(B3:H19,"*Amanda*")</f>
        <v>4</v>
      </c>
      <c r="J52">
        <v>0</v>
      </c>
    </row>
    <row r="53" spans="6:10">
      <c r="F53" s="170"/>
      <c r="G53" s="172" t="s">
        <v>18</v>
      </c>
      <c r="H53" s="171" t="s">
        <v>304</v>
      </c>
      <c r="I53" s="67">
        <f>COUNTIF(B3:H19,"*Iria*")</f>
        <v>4</v>
      </c>
      <c r="J53">
        <f t="shared" si="2"/>
        <v>60</v>
      </c>
    </row>
    <row r="54" spans="6:10">
      <c r="F54" s="257"/>
      <c r="G54" s="257"/>
      <c r="H54" s="171" t="s">
        <v>345</v>
      </c>
      <c r="I54" s="67">
        <f>COUNTIF(B2:H20,"*manolo*")</f>
        <v>12</v>
      </c>
      <c r="J54">
        <f>I54*25</f>
        <v>300</v>
      </c>
    </row>
    <row r="55" spans="6:10">
      <c r="F55" s="154"/>
      <c r="G55" s="154"/>
      <c r="H55" s="174" t="s">
        <v>275</v>
      </c>
      <c r="I55" s="67">
        <f>COUNTIF(B3:H20,"*berta*")</f>
        <v>4</v>
      </c>
      <c r="J55">
        <f>I55*10</f>
        <v>40</v>
      </c>
    </row>
    <row r="56" spans="6:10">
      <c r="F56" s="154"/>
      <c r="G56" s="154"/>
      <c r="H56" s="174" t="s">
        <v>356</v>
      </c>
      <c r="I56" s="67">
        <f>COUNTIF(B3:H20,"*ingrid*")</f>
        <v>4</v>
      </c>
      <c r="J56">
        <f>I56*10</f>
        <v>40</v>
      </c>
    </row>
    <row r="57" spans="6:10">
      <c r="G57" s="66"/>
      <c r="H57" s="152" t="s">
        <v>260</v>
      </c>
      <c r="I57" s="67"/>
      <c r="J57">
        <v>1200</v>
      </c>
    </row>
    <row r="58" spans="6:10">
      <c r="G58" s="77"/>
      <c r="H58" s="78" t="s">
        <v>28</v>
      </c>
      <c r="I58" s="77">
        <f>SUM(I26:I57)</f>
        <v>277</v>
      </c>
      <c r="J58">
        <f>SUM(J26:J57)</f>
        <v>9720.99</v>
      </c>
    </row>
  </sheetData>
  <mergeCells count="9">
    <mergeCell ref="E17:H18"/>
    <mergeCell ref="F54:G54"/>
    <mergeCell ref="F37:G37"/>
    <mergeCell ref="F41:G41"/>
    <mergeCell ref="F42:G42"/>
    <mergeCell ref="F49:G49"/>
    <mergeCell ref="F50:G50"/>
    <mergeCell ref="F51:G51"/>
    <mergeCell ref="F52:G52"/>
  </mergeCells>
  <conditionalFormatting sqref="B17:D17">
    <cfRule type="expression" dxfId="53" priority="7">
      <formula>AND(DAY(B17)&gt;=1,DAY(B17)&lt;=15)</formula>
    </cfRule>
  </conditionalFormatting>
  <conditionalFormatting sqref="B3:G3">
    <cfRule type="expression" dxfId="52" priority="1">
      <formula>DAY(B3)&gt;8</formula>
    </cfRule>
  </conditionalFormatting>
  <conditionalFormatting sqref="B14:H14">
    <cfRule type="expression" dxfId="51" priority="10">
      <formula>AND(DAY(B14)&gt;=1,DAY(B14)&lt;=15)</formula>
    </cfRule>
  </conditionalFormatting>
  <dataValidations xWindow="208" yWindow="410" count="9">
    <dataValidation allowBlank="1" showInputMessage="1" showErrorMessage="1" prompt="Las celdas de esta fila y las filas 6, 8, 10, 12 y 14 son para escribir notas diarias relacionadas con el día natural de la celda anterior." sqref="B4 B7 B13 B10 B16" xr:uid="{00000000-0002-0000-0200-000000000000}"/>
    <dataValidation allowBlank="1" showInputMessage="1" showErrorMessage="1" prompt="Escriba notas en esta celda." sqref="E17:H18" xr:uid="{00000000-0002-0000-0200-000001000000}"/>
    <dataValidation allowBlank="1" showInputMessage="1" showErrorMessage="1" prompt="Escriba notas en la celda a la derecha." sqref="D17:D18" xr:uid="{00000000-0002-0000-0200-000002000000}"/>
    <dataValidation allowBlank="1" showInputMessage="1" showErrorMessage="1" prompt="Calendario del mes de marzo" sqref="A1" xr:uid="{00000000-0002-0000-0200-000003000000}"/>
    <dataValidation allowBlank="1" showInputMessage="1" showErrorMessage="1" prompt="Esta fila contiene los nombres de los días laborables de este calendario. Esta celda contiene el día de inicio de la semana. Para cambiar el día de inicio, escriba un nuevo día laborable en la celda K4 de la hoja de cálculo Enero." sqref="B2" xr:uid="{00000000-0002-0000-0200-000005000000}"/>
    <dataValidation allowBlank="1" showInputMessage="1" showErrorMessage="1" prompt="Esta fila y las filas 5, 7, 9, 11 y 13 contienen días naturales de la semana. Si esta celda no contiene el número 1, se trata de un día del mes anterior. Escriba notas en la celda E13." sqref="B3" xr:uid="{00000000-0002-0000-0200-000006000000}"/>
    <dataValidation allowBlank="1" showErrorMessage="1" prompt="El año de esta celda se actualiza automáticamente según el año especificado en la hoja de cálculo de Enero. El calendario siguiente incluye fechas de los meses anterior y posterior con un sombreado de fuente más claro." sqref="B1" xr:uid="{00000000-0002-0000-0200-000007000000}"/>
    <dataValidation allowBlank="1" showInputMessage="1" showErrorMessage="1" prompt="El día de la semana se determinará automáticamente" sqref="C2:H2" xr:uid="{00000000-0002-0000-0200-000008000000}"/>
    <dataValidation allowBlank="1" showInputMessage="1" showErrorMessage="1" prompt="El año en esta celda se actualiza automáticamente. Seleccione otro año en la celda K3 de la hoja de cálculo Enero para cambiar el año" sqref="C1" xr:uid="{C1995E01-AAE3-4041-A81C-0B13ED717A16}"/>
  </dataValidations>
  <printOptions horizontalCentered="1" verticalCentered="1"/>
  <pageMargins left="0.7" right="0.7" top="0.75" bottom="0.75" header="0.3" footer="0.3"/>
  <pageSetup paperSize="9" scale="83" orientation="landscape" r:id="rId1"/>
  <headerFooter differentFirst="1">
    <oddFooter>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theme="4"/>
    <pageSetUpPr fitToPage="1"/>
  </sheetPr>
  <dimension ref="B1:H60"/>
  <sheetViews>
    <sheetView showGridLines="0" topLeftCell="A24" zoomScale="90" zoomScaleNormal="90" workbookViewId="0">
      <selection activeCell="C37" sqref="C37"/>
    </sheetView>
  </sheetViews>
  <sheetFormatPr baseColWidth="10" defaultColWidth="8.88671875" defaultRowHeight="14.25"/>
  <cols>
    <col min="1" max="1" width="2.77734375" customWidth="1"/>
    <col min="2" max="2" width="18.44140625" customWidth="1"/>
    <col min="3" max="8" width="17.77734375" customWidth="1"/>
    <col min="9" max="9" width="2.77734375" customWidth="1"/>
    <col min="10" max="10" width="10.6640625" customWidth="1"/>
  </cols>
  <sheetData>
    <row r="1" spans="2:8" ht="59.25" customHeight="1">
      <c r="B1" s="25" t="str">
        <f>"Abril "&amp;AñoCalendario</f>
        <v>Abril 2026</v>
      </c>
      <c r="C1" s="11"/>
      <c r="D1" s="11"/>
      <c r="E1" s="12"/>
      <c r="F1" s="12"/>
      <c r="G1" s="12"/>
      <c r="H1" s="26"/>
    </row>
    <row r="2" spans="2:8" ht="21.75" customHeight="1">
      <c r="B2" s="5" t="str">
        <f>IF(InicioDeSemana="DOMINGO", "DOMINGO","LUNES")</f>
        <v>LUNES</v>
      </c>
      <c r="C2" s="5" t="str">
        <f t="shared" ref="C2:H2" si="0">UPPER(TEXT(C3,"dddd"))</f>
        <v>MARTES</v>
      </c>
      <c r="D2" s="5" t="str">
        <f t="shared" si="0"/>
        <v>MIÉRCOLES</v>
      </c>
      <c r="E2" s="5" t="str">
        <f t="shared" si="0"/>
        <v>JUEVES</v>
      </c>
      <c r="F2" s="5" t="str">
        <f t="shared" si="0"/>
        <v>VIERNES</v>
      </c>
      <c r="G2" s="5" t="str">
        <f t="shared" si="0"/>
        <v>SÁBADO</v>
      </c>
      <c r="H2" s="5" t="str">
        <f t="shared" si="0"/>
        <v>DOMINGO</v>
      </c>
    </row>
    <row r="3" spans="2:8" ht="19.5" customHeight="1">
      <c r="B3" s="59">
        <f t="array" ref="B3:H3">DaysAndWeeks+DATE(AñoCalendario,4,1)-WEEKDAY(DATE(AñoCalendario,4,1),(InicioDeSemana="LUNES")+1)+1</f>
        <v>46111</v>
      </c>
      <c r="C3" s="59">
        <v>46112</v>
      </c>
      <c r="D3" s="59">
        <v>46113</v>
      </c>
      <c r="E3" s="59">
        <v>46114</v>
      </c>
      <c r="F3" s="59">
        <v>46115</v>
      </c>
      <c r="G3" s="59">
        <v>46116</v>
      </c>
      <c r="H3" s="59">
        <v>46117</v>
      </c>
    </row>
    <row r="4" spans="2:8" ht="57.95" customHeight="1">
      <c r="B4" s="83"/>
      <c r="C4" s="83"/>
      <c r="D4" s="83" t="s">
        <v>314</v>
      </c>
      <c r="E4" s="83" t="s">
        <v>314</v>
      </c>
      <c r="F4" s="83" t="s">
        <v>314</v>
      </c>
      <c r="G4" s="82"/>
      <c r="H4" s="59"/>
    </row>
    <row r="5" spans="2:8" ht="57.95" customHeight="1">
      <c r="B5" s="83"/>
      <c r="C5" s="83"/>
      <c r="D5" s="83" t="s">
        <v>314</v>
      </c>
      <c r="E5" s="83" t="s">
        <v>314</v>
      </c>
      <c r="F5" s="83" t="s">
        <v>314</v>
      </c>
      <c r="G5" s="59"/>
      <c r="H5" s="59"/>
    </row>
    <row r="6" spans="2:8" ht="19.5" customHeight="1">
      <c r="B6" s="60">
        <f t="array" ref="B6:H6">DaysAndWeeks+DATE(AñoCalendario,4,1)-WEEKDAY(DATE(AñoCalendario,4,1),(InicioDeSemana="LUNES")+1)+8</f>
        <v>46118</v>
      </c>
      <c r="C6" s="60">
        <v>46119</v>
      </c>
      <c r="D6" s="60">
        <v>46120</v>
      </c>
      <c r="E6" s="60">
        <v>46121</v>
      </c>
      <c r="F6" s="60">
        <v>46122</v>
      </c>
      <c r="G6" s="60">
        <v>46123</v>
      </c>
      <c r="H6" s="60">
        <v>46124</v>
      </c>
    </row>
    <row r="7" spans="2:8" ht="57.95" customHeight="1">
      <c r="B7" s="83" t="s">
        <v>384</v>
      </c>
      <c r="C7" s="83" t="s">
        <v>383</v>
      </c>
      <c r="D7" s="83" t="s">
        <v>388</v>
      </c>
      <c r="E7" s="83" t="s">
        <v>375</v>
      </c>
      <c r="F7" s="83" t="s">
        <v>376</v>
      </c>
      <c r="G7" s="89" t="s">
        <v>268</v>
      </c>
      <c r="H7" s="60"/>
    </row>
    <row r="8" spans="2:8" ht="57.95" customHeight="1">
      <c r="B8" s="83" t="s">
        <v>314</v>
      </c>
      <c r="C8" s="96" t="s">
        <v>17</v>
      </c>
      <c r="D8" s="96" t="s">
        <v>331</v>
      </c>
      <c r="E8" s="96" t="s">
        <v>332</v>
      </c>
      <c r="F8" s="96" t="s">
        <v>247</v>
      </c>
      <c r="G8" s="60"/>
      <c r="H8" s="60"/>
    </row>
    <row r="9" spans="2:8" ht="19.5" customHeight="1">
      <c r="B9" s="59">
        <f t="array" ref="B9:H9">DaysAndWeeks+DATE(AñoCalendario,4,1)-WEEKDAY(DATE(AñoCalendario,4,1),(InicioDeSemana="LUNES")+1)+15</f>
        <v>46125</v>
      </c>
      <c r="C9" s="59">
        <v>46126</v>
      </c>
      <c r="D9" s="59">
        <v>46127</v>
      </c>
      <c r="E9" s="59">
        <v>46128</v>
      </c>
      <c r="F9" s="59">
        <v>46129</v>
      </c>
      <c r="G9" s="59">
        <v>46130</v>
      </c>
      <c r="H9" s="59">
        <v>46131</v>
      </c>
    </row>
    <row r="10" spans="2:8" ht="57.95" customHeight="1">
      <c r="B10" s="83" t="s">
        <v>389</v>
      </c>
      <c r="C10" s="83" t="s">
        <v>383</v>
      </c>
      <c r="D10" s="83" t="s">
        <v>374</v>
      </c>
      <c r="E10" s="83" t="s">
        <v>377</v>
      </c>
      <c r="F10" s="83" t="s">
        <v>378</v>
      </c>
      <c r="G10" s="89" t="s">
        <v>268</v>
      </c>
      <c r="H10" s="59"/>
    </row>
    <row r="11" spans="2:8" ht="57.95" customHeight="1">
      <c r="B11" s="96" t="s">
        <v>362</v>
      </c>
      <c r="C11" s="96" t="s">
        <v>17</v>
      </c>
      <c r="D11" s="96" t="s">
        <v>331</v>
      </c>
      <c r="E11" s="96" t="s">
        <v>332</v>
      </c>
      <c r="F11" s="96" t="s">
        <v>247</v>
      </c>
      <c r="G11" s="59"/>
      <c r="H11" s="59"/>
    </row>
    <row r="12" spans="2:8" ht="19.5" customHeight="1">
      <c r="B12" s="60">
        <f t="array" ref="B12:H12">DaysAndWeeks+DATE(AñoCalendario,4,1)-WEEKDAY(DATE(AñoCalendario,4,1),(InicioDeSemana="LUNES")+1)+22</f>
        <v>46132</v>
      </c>
      <c r="C12" s="60">
        <v>46133</v>
      </c>
      <c r="D12" s="60">
        <v>46134</v>
      </c>
      <c r="E12" s="60">
        <v>46135</v>
      </c>
      <c r="F12" s="60">
        <v>46136</v>
      </c>
      <c r="G12" s="60">
        <v>46137</v>
      </c>
      <c r="H12" s="60">
        <v>46138</v>
      </c>
    </row>
    <row r="13" spans="2:8" ht="57.95" customHeight="1">
      <c r="B13" s="83" t="s">
        <v>390</v>
      </c>
      <c r="C13" s="83" t="s">
        <v>383</v>
      </c>
      <c r="D13" s="83" t="s">
        <v>374</v>
      </c>
      <c r="E13" s="83" t="s">
        <v>379</v>
      </c>
      <c r="F13" s="83" t="s">
        <v>380</v>
      </c>
      <c r="G13" s="89" t="s">
        <v>268</v>
      </c>
      <c r="H13" s="60"/>
    </row>
    <row r="14" spans="2:8" ht="57.95" customHeight="1">
      <c r="B14" s="96" t="s">
        <v>362</v>
      </c>
      <c r="C14" s="96" t="s">
        <v>17</v>
      </c>
      <c r="D14" s="96" t="s">
        <v>331</v>
      </c>
      <c r="E14" s="96" t="s">
        <v>332</v>
      </c>
      <c r="F14" s="96" t="s">
        <v>247</v>
      </c>
      <c r="G14" s="60"/>
      <c r="H14" s="60"/>
    </row>
    <row r="15" spans="2:8" ht="19.5" customHeight="1">
      <c r="B15" s="59">
        <f t="array" ref="B15:H15">DaysAndWeeks+DATE(AñoCalendario,4,1)-WEEKDAY(DATE(AñoCalendario,4,1),(InicioDeSemana="LUNES")+1)+29</f>
        <v>46139</v>
      </c>
      <c r="C15" s="59">
        <v>46140</v>
      </c>
      <c r="D15" s="59">
        <v>46141</v>
      </c>
      <c r="E15" s="59">
        <v>46142</v>
      </c>
      <c r="F15" s="59">
        <v>46143</v>
      </c>
      <c r="G15" s="59">
        <v>46144</v>
      </c>
      <c r="H15" s="59">
        <v>46145</v>
      </c>
    </row>
    <row r="16" spans="2:8" ht="57.95" customHeight="1">
      <c r="B16" s="83" t="s">
        <v>391</v>
      </c>
      <c r="C16" s="83" t="s">
        <v>383</v>
      </c>
      <c r="D16" s="83" t="s">
        <v>374</v>
      </c>
      <c r="E16" s="83" t="s">
        <v>382</v>
      </c>
      <c r="F16" s="83"/>
      <c r="G16" s="59"/>
      <c r="H16" s="59"/>
    </row>
    <row r="17" spans="2:8" ht="57.95" customHeight="1">
      <c r="B17" s="96" t="s">
        <v>362</v>
      </c>
      <c r="C17" s="96" t="s">
        <v>17</v>
      </c>
      <c r="D17" s="96" t="s">
        <v>331</v>
      </c>
      <c r="E17" s="96" t="s">
        <v>332</v>
      </c>
      <c r="F17" s="83"/>
      <c r="G17" s="59"/>
      <c r="H17" s="59"/>
    </row>
    <row r="18" spans="2:8" ht="19.5" customHeight="1">
      <c r="B18" s="60">
        <f t="array" ref="B18:C18">DaysAndWeeks+DATE(AñoCalendario,4,1)-WEEKDAY(DATE(AñoCalendario,4,1),(InicioDeSemana="LUNES")+1)+36</f>
        <v>46146</v>
      </c>
      <c r="C18" s="60">
        <v>46147</v>
      </c>
      <c r="D18" s="63" t="s">
        <v>0</v>
      </c>
      <c r="E18" s="251"/>
      <c r="F18" s="251"/>
      <c r="G18" s="251"/>
      <c r="H18" s="252"/>
    </row>
    <row r="19" spans="2:8" ht="57.95" customHeight="1">
      <c r="B19" s="60"/>
      <c r="C19" s="60"/>
      <c r="D19" s="7"/>
      <c r="E19" s="253"/>
      <c r="F19" s="253"/>
      <c r="G19" s="253"/>
      <c r="H19" s="254"/>
    </row>
    <row r="27" spans="2:8">
      <c r="B27" s="67" t="s">
        <v>6</v>
      </c>
      <c r="C27" s="152" t="s">
        <v>124</v>
      </c>
    </row>
    <row r="28" spans="2:8" ht="15">
      <c r="B28" s="192"/>
      <c r="C28" s="193" t="s">
        <v>8</v>
      </c>
      <c r="D28" s="181" t="s">
        <v>9</v>
      </c>
      <c r="E28" s="181">
        <f>COUNTIF(B3:I19,"*estel*")</f>
        <v>1</v>
      </c>
      <c r="F28" s="191">
        <v>345.95</v>
      </c>
    </row>
    <row r="29" spans="2:8" ht="15">
      <c r="B29" s="192"/>
      <c r="C29" s="193" t="s">
        <v>263</v>
      </c>
      <c r="D29" s="182" t="s">
        <v>247</v>
      </c>
      <c r="E29" s="181">
        <f>COUNTIF(B3:I19,"*carlos*")</f>
        <v>25</v>
      </c>
      <c r="F29" s="191">
        <f>E29*25</f>
        <v>625</v>
      </c>
    </row>
    <row r="30" spans="2:8" ht="15">
      <c r="B30" s="192"/>
      <c r="C30" s="194" t="s">
        <v>16</v>
      </c>
      <c r="D30" s="181" t="s">
        <v>17</v>
      </c>
      <c r="E30" s="181">
        <f>COUNTIF(B3:I19,"*mario*")</f>
        <v>23</v>
      </c>
      <c r="F30" s="191">
        <v>1036.3900000000001</v>
      </c>
    </row>
    <row r="31" spans="2:8" ht="14.25" customHeight="1">
      <c r="B31" s="192"/>
      <c r="C31" s="195" t="s">
        <v>276</v>
      </c>
      <c r="D31" s="183" t="s">
        <v>252</v>
      </c>
      <c r="E31" s="181">
        <f>COUNTIF(B3:I19,"*julia*")</f>
        <v>3</v>
      </c>
      <c r="F31" s="191">
        <f t="shared" ref="F31:F46" si="1">E31*25</f>
        <v>75</v>
      </c>
    </row>
    <row r="32" spans="2:8" ht="15">
      <c r="B32" s="192"/>
      <c r="C32" s="195" t="s">
        <v>277</v>
      </c>
      <c r="D32" s="184" t="s">
        <v>270</v>
      </c>
      <c r="E32" s="181">
        <f>COUNTIF(B3:I19,"*bruna*")</f>
        <v>4</v>
      </c>
      <c r="F32" s="191">
        <f t="shared" si="1"/>
        <v>100</v>
      </c>
    </row>
    <row r="33" spans="2:7" ht="14.25" customHeight="1">
      <c r="B33" s="192"/>
      <c r="C33" s="196" t="s">
        <v>302</v>
      </c>
      <c r="D33" s="183" t="s">
        <v>244</v>
      </c>
      <c r="E33" s="181">
        <f>COUNTIF(B3:H18,"*richard*")</f>
        <v>11</v>
      </c>
      <c r="F33" s="191">
        <f t="shared" si="1"/>
        <v>275</v>
      </c>
    </row>
    <row r="34" spans="2:7" ht="14.25" customHeight="1">
      <c r="B34" s="192"/>
      <c r="C34" s="195" t="s">
        <v>284</v>
      </c>
      <c r="D34" s="183" t="s">
        <v>240</v>
      </c>
      <c r="E34" s="181">
        <f>COUNTIF(B3:I19,"*isaac*")</f>
        <v>7</v>
      </c>
      <c r="F34" s="191">
        <f t="shared" si="1"/>
        <v>175</v>
      </c>
    </row>
    <row r="35" spans="2:7" ht="15">
      <c r="B35" s="192"/>
      <c r="C35" s="195" t="s">
        <v>161</v>
      </c>
      <c r="D35" s="183" t="s">
        <v>204</v>
      </c>
      <c r="E35" s="181">
        <f>COUNTIF(B3:I19,"*mary*")</f>
        <v>18</v>
      </c>
      <c r="F35" s="191">
        <f>E35*25-28</f>
        <v>422</v>
      </c>
    </row>
    <row r="36" spans="2:7" ht="14.25" customHeight="1">
      <c r="B36" s="192"/>
      <c r="C36" s="195" t="s">
        <v>279</v>
      </c>
      <c r="D36" s="183" t="s">
        <v>246</v>
      </c>
      <c r="E36" s="181">
        <f>COUNTIF(B3:I19,"*jota*")</f>
        <v>18</v>
      </c>
      <c r="F36" s="191">
        <f t="shared" si="1"/>
        <v>450</v>
      </c>
    </row>
    <row r="37" spans="2:7" ht="15">
      <c r="B37" s="192"/>
      <c r="C37" s="195" t="s">
        <v>367</v>
      </c>
      <c r="D37" s="185" t="s">
        <v>289</v>
      </c>
      <c r="E37" s="181">
        <f>COUNTIF(B3:I19,"*xavi*")</f>
        <v>6</v>
      </c>
      <c r="F37" s="191">
        <f>E37*25</f>
        <v>150</v>
      </c>
    </row>
    <row r="38" spans="2:7" ht="14.25" customHeight="1">
      <c r="B38" s="192"/>
      <c r="C38" s="195" t="s">
        <v>282</v>
      </c>
      <c r="D38" s="183" t="s">
        <v>248</v>
      </c>
      <c r="E38" s="181">
        <f>COUNTIF(B3:I19,"*montse*")</f>
        <v>17</v>
      </c>
      <c r="F38" s="191">
        <f t="shared" si="1"/>
        <v>425</v>
      </c>
      <c r="G38" t="s">
        <v>373</v>
      </c>
    </row>
    <row r="39" spans="2:7" ht="14.25" customHeight="1">
      <c r="B39" s="260" t="s">
        <v>83</v>
      </c>
      <c r="C39" s="260"/>
      <c r="D39" s="183" t="s">
        <v>381</v>
      </c>
      <c r="E39" s="181">
        <f>COUNTIF(B3:H18,"*raul*")</f>
        <v>18</v>
      </c>
      <c r="F39" s="191">
        <f>E39*25-49</f>
        <v>401</v>
      </c>
    </row>
    <row r="40" spans="2:7" ht="14.25" customHeight="1">
      <c r="B40" s="192"/>
      <c r="C40" s="195" t="s">
        <v>280</v>
      </c>
      <c r="D40" s="183" t="s">
        <v>254</v>
      </c>
      <c r="E40" s="181">
        <f>COUNTIF(B3:I19,"*noemi*")</f>
        <v>4</v>
      </c>
      <c r="F40" s="191">
        <f>E40*25</f>
        <v>100</v>
      </c>
    </row>
    <row r="41" spans="2:7" ht="14.25" customHeight="1">
      <c r="B41" s="192"/>
      <c r="C41" s="195" t="s">
        <v>283</v>
      </c>
      <c r="D41" s="183" t="s">
        <v>239</v>
      </c>
      <c r="E41" s="181">
        <f>COUNTIF(B3:I19,"*manuela*")</f>
        <v>1</v>
      </c>
      <c r="F41" s="191">
        <f t="shared" si="1"/>
        <v>25</v>
      </c>
    </row>
    <row r="42" spans="2:7" ht="15">
      <c r="B42" s="192"/>
      <c r="C42" s="198" t="s">
        <v>18</v>
      </c>
      <c r="D42" s="183" t="s">
        <v>245</v>
      </c>
      <c r="E42" s="181">
        <f>COUNTIF(B3:I19,"*laura*")</f>
        <v>7</v>
      </c>
      <c r="F42" s="191">
        <f t="shared" si="1"/>
        <v>175</v>
      </c>
    </row>
    <row r="43" spans="2:7" ht="15" customHeight="1">
      <c r="B43" s="260" t="s">
        <v>95</v>
      </c>
      <c r="C43" s="260"/>
      <c r="D43" s="183" t="s">
        <v>90</v>
      </c>
      <c r="E43" s="181">
        <v>9</v>
      </c>
      <c r="F43" s="191">
        <f t="shared" si="1"/>
        <v>225</v>
      </c>
    </row>
    <row r="44" spans="2:7" ht="15">
      <c r="B44" s="263" t="s">
        <v>264</v>
      </c>
      <c r="C44" s="263"/>
      <c r="D44" s="203" t="s">
        <v>385</v>
      </c>
      <c r="E44" s="181">
        <v>9</v>
      </c>
      <c r="F44" s="191">
        <f t="shared" si="1"/>
        <v>225</v>
      </c>
    </row>
    <row r="45" spans="2:7" ht="15">
      <c r="B45" s="192"/>
      <c r="C45" s="195" t="s">
        <v>300</v>
      </c>
      <c r="D45" s="186" t="s">
        <v>297</v>
      </c>
      <c r="E45" s="181">
        <f>COUNTIF(B3:I19,"*arnau*")</f>
        <v>4</v>
      </c>
      <c r="F45" s="191">
        <f t="shared" si="1"/>
        <v>100</v>
      </c>
    </row>
    <row r="46" spans="2:7" ht="15">
      <c r="B46" s="192"/>
      <c r="C46" s="195" t="s">
        <v>168</v>
      </c>
      <c r="D46" s="183" t="s">
        <v>257</v>
      </c>
      <c r="E46" s="181">
        <f>COUNTIF(B3:I19,"*asencio*")</f>
        <v>3</v>
      </c>
      <c r="F46" s="191">
        <f t="shared" si="1"/>
        <v>75</v>
      </c>
    </row>
    <row r="47" spans="2:7" ht="15">
      <c r="B47" s="192"/>
      <c r="C47" s="198"/>
      <c r="D47" s="183" t="s">
        <v>258</v>
      </c>
      <c r="E47" s="181">
        <f>COUNTIF(B3:I19,"*estel*")</f>
        <v>1</v>
      </c>
      <c r="F47" s="191">
        <v>1033.3599999999999</v>
      </c>
    </row>
    <row r="48" spans="2:7" ht="15">
      <c r="B48" s="192"/>
      <c r="C48" s="198"/>
      <c r="D48" s="183" t="s">
        <v>259</v>
      </c>
      <c r="E48" s="181">
        <f t="shared" ref="E48:E54" si="2">COUNTIF(B23:I39,"*estel*")</f>
        <v>1</v>
      </c>
      <c r="F48" s="191">
        <v>690.91</v>
      </c>
    </row>
    <row r="49" spans="2:6" ht="15">
      <c r="B49" s="192"/>
      <c r="C49" s="195" t="s">
        <v>278</v>
      </c>
      <c r="D49" s="183" t="s">
        <v>242</v>
      </c>
      <c r="E49" s="181">
        <f>COUNTIF(B3:I19,"*salva*")</f>
        <v>19</v>
      </c>
      <c r="F49" s="191">
        <f>E49*25</f>
        <v>475</v>
      </c>
    </row>
    <row r="50" spans="2:6" ht="15">
      <c r="B50" s="192"/>
      <c r="C50" s="195" t="s">
        <v>307</v>
      </c>
      <c r="D50" s="185" t="s">
        <v>290</v>
      </c>
      <c r="E50" s="181">
        <f>COUNTIF(B3:I19,"*torralba*")</f>
        <v>11</v>
      </c>
      <c r="F50" s="191">
        <f>E50*15</f>
        <v>165</v>
      </c>
    </row>
    <row r="51" spans="2:6" ht="15" customHeight="1">
      <c r="B51" s="260" t="s">
        <v>237</v>
      </c>
      <c r="C51" s="260"/>
      <c r="D51" s="181" t="s">
        <v>26</v>
      </c>
      <c r="E51" s="181">
        <f>COUNTIF(B3:I19,"*lolo*")</f>
        <v>7</v>
      </c>
      <c r="F51" s="191">
        <f>E51*25</f>
        <v>175</v>
      </c>
    </row>
    <row r="52" spans="2:6" ht="15">
      <c r="B52" s="260"/>
      <c r="C52" s="260"/>
      <c r="D52" s="187" t="s">
        <v>265</v>
      </c>
      <c r="E52" s="181">
        <f>COUNTIF(B3:I19,"*ishtar*")</f>
        <v>3</v>
      </c>
      <c r="F52" s="190">
        <f>E52*15</f>
        <v>45</v>
      </c>
    </row>
    <row r="53" spans="2:6">
      <c r="B53" s="261" t="s">
        <v>18</v>
      </c>
      <c r="C53" s="261"/>
      <c r="D53" s="187" t="s">
        <v>266</v>
      </c>
      <c r="E53" s="181">
        <f>COUNTIF(B3:I19,"*matias*")</f>
        <v>1</v>
      </c>
      <c r="F53" s="191">
        <f t="shared" ref="F53:F55" si="3">E53*15</f>
        <v>15</v>
      </c>
    </row>
    <row r="54" spans="2:6">
      <c r="B54" s="261"/>
      <c r="C54" s="261"/>
      <c r="D54" s="187"/>
      <c r="E54" s="181">
        <f t="shared" si="2"/>
        <v>0</v>
      </c>
      <c r="F54" s="190">
        <v>0</v>
      </c>
    </row>
    <row r="55" spans="2:6">
      <c r="B55" s="199"/>
      <c r="C55" s="200" t="s">
        <v>18</v>
      </c>
      <c r="D55" s="188" t="s">
        <v>304</v>
      </c>
      <c r="E55" s="181">
        <f>COUNTIF(B3:I19,"*iria*")</f>
        <v>4</v>
      </c>
      <c r="F55" s="190">
        <f t="shared" si="3"/>
        <v>60</v>
      </c>
    </row>
    <row r="56" spans="2:6">
      <c r="B56" s="262"/>
      <c r="C56" s="262"/>
      <c r="D56" s="188" t="s">
        <v>345</v>
      </c>
      <c r="E56" s="181">
        <f>COUNTIF(B3:I19,"*manolo*")</f>
        <v>11</v>
      </c>
      <c r="F56" s="191">
        <f>E56*25</f>
        <v>275</v>
      </c>
    </row>
    <row r="57" spans="2:6">
      <c r="B57" s="201"/>
      <c r="C57" s="201"/>
      <c r="D57" s="189" t="s">
        <v>275</v>
      </c>
      <c r="E57" s="181">
        <f>COUNTIF(A3:H17,"*berta*")</f>
        <v>2</v>
      </c>
      <c r="F57" s="190">
        <f>E57*10</f>
        <v>20</v>
      </c>
    </row>
    <row r="58" spans="2:6">
      <c r="B58" s="201"/>
      <c r="C58" s="201"/>
      <c r="D58" s="189" t="s">
        <v>356</v>
      </c>
      <c r="E58" s="181">
        <f>COUNTIF(B3:I19,"*ingrid*")</f>
        <v>4</v>
      </c>
      <c r="F58" s="191">
        <f>E58*10</f>
        <v>40</v>
      </c>
    </row>
    <row r="59" spans="2:6">
      <c r="B59" s="190"/>
      <c r="C59" s="202"/>
      <c r="D59" s="183" t="s">
        <v>260</v>
      </c>
      <c r="E59" s="181"/>
      <c r="F59" s="190">
        <v>1890</v>
      </c>
    </row>
    <row r="60" spans="2:6">
      <c r="C60" s="77"/>
      <c r="D60" s="78" t="s">
        <v>28</v>
      </c>
      <c r="E60" s="77">
        <f>SUM(E28:E59)</f>
        <v>252</v>
      </c>
      <c r="F60">
        <f>SUM(F28:F59)</f>
        <v>10289.61</v>
      </c>
    </row>
  </sheetData>
  <mergeCells count="9">
    <mergeCell ref="B52:C52"/>
    <mergeCell ref="B53:C53"/>
    <mergeCell ref="B54:C54"/>
    <mergeCell ref="B56:C56"/>
    <mergeCell ref="E18:H19"/>
    <mergeCell ref="B39:C39"/>
    <mergeCell ref="B43:C43"/>
    <mergeCell ref="B44:C44"/>
    <mergeCell ref="B51:C51"/>
  </mergeCells>
  <conditionalFormatting sqref="B18:D18">
    <cfRule type="expression" dxfId="50" priority="1">
      <formula>AND(DAY(B18)&gt;=1,DAY(B18)&lt;=15)</formula>
    </cfRule>
  </conditionalFormatting>
  <conditionalFormatting sqref="B3:G3">
    <cfRule type="expression" dxfId="49" priority="3">
      <formula>DAY(B3)&gt;8</formula>
    </cfRule>
  </conditionalFormatting>
  <conditionalFormatting sqref="B15:H15">
    <cfRule type="expression" dxfId="48" priority="4">
      <formula>AND(DAY(B15)&gt;=1,DAY(B15)&lt;=15)</formula>
    </cfRule>
  </conditionalFormatting>
  <dataValidations count="9">
    <dataValidation allowBlank="1" showInputMessage="1" showErrorMessage="1" prompt="El día de la semana se determinará automáticamente" sqref="C2:H2" xr:uid="{00000000-0002-0000-0300-000000000000}"/>
    <dataValidation allowBlank="1" showErrorMessage="1" prompt="El año de esta celda se actualiza automáticamente según el año especificado en la hoja de cálculo de Enero. El calendario siguiente incluye fechas de los meses anterior y posterior con un sombreado de fuente más claro." sqref="B1" xr:uid="{00000000-0002-0000-0300-000001000000}"/>
    <dataValidation allowBlank="1" showInputMessage="1" showErrorMessage="1" prompt="Esta fila y las filas 5, 7, 9, 11 y 13 contienen días naturales de la semana. Si esta celda no contiene el número 1, se trata de un día del mes anterior. Escriba notas en la celda E13." sqref="B3" xr:uid="{00000000-0002-0000-0300-000002000000}"/>
    <dataValidation allowBlank="1" showInputMessage="1" showErrorMessage="1" prompt="Esta fila contiene los nombres de los días laborables de este calendario. Esta celda contiene el día de inicio de la semana. Para cambiar el día de inicio, escriba un nuevo día laborable en la celda K4 de la hoja de cálculo Enero." sqref="B2" xr:uid="{00000000-0002-0000-0300-000003000000}"/>
    <dataValidation allowBlank="1" showInputMessage="1" showErrorMessage="1" prompt="Calendario del mes de abril" sqref="A1" xr:uid="{00000000-0002-0000-0300-000005000000}"/>
    <dataValidation allowBlank="1" showInputMessage="1" showErrorMessage="1" prompt="Escriba notas en la celda a la derecha." sqref="D18:D19" xr:uid="{00000000-0002-0000-0300-000006000000}"/>
    <dataValidation allowBlank="1" showInputMessage="1" showErrorMessage="1" prompt="Escriba notas en esta celda." sqref="E18:H19" xr:uid="{00000000-0002-0000-0300-000007000000}"/>
    <dataValidation allowBlank="1" showInputMessage="1" showErrorMessage="1" prompt="El año en esta celda se actualiza automáticamente. Seleccione otro año en la celda K3 de la hoja de cálculo Enero para cambiar el año" sqref="C1" xr:uid="{D16B5673-0252-4E4D-BE2B-2E1EE12D2911}"/>
    <dataValidation allowBlank="1" showInputMessage="1" showErrorMessage="1" prompt="Las celdas de esta fila y las filas 6, 8, 10, 12 y 14 son para escribir notas diarias relacionadas con el día natural de la celda anterior." sqref="B11 B14 B17" xr:uid="{B7860B43-D14C-4B21-8D44-D0AFB0636C7B}"/>
  </dataValidations>
  <printOptions horizontalCentered="1" verticalCentered="1"/>
  <pageMargins left="0.25" right="0.25" top="0.75" bottom="0.75" header="0.3" footer="0.3"/>
  <pageSetup paperSize="9" scale="62" fitToHeight="0" orientation="portrait" r:id="rId1"/>
  <headerFooter differentFirst="1">
    <oddFooter>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theme="5"/>
    <pageSetUpPr fitToPage="1"/>
  </sheetPr>
  <dimension ref="B1:H55"/>
  <sheetViews>
    <sheetView showGridLines="0" topLeftCell="A19" zoomScale="90" zoomScaleNormal="90" workbookViewId="0">
      <selection activeCell="D39" sqref="D39"/>
    </sheetView>
  </sheetViews>
  <sheetFormatPr baseColWidth="10" defaultColWidth="8.88671875" defaultRowHeight="14.25"/>
  <cols>
    <col min="1" max="1" width="2.77734375" customWidth="1"/>
    <col min="2" max="2" width="18.44140625" customWidth="1"/>
    <col min="3" max="8" width="17.77734375" customWidth="1"/>
    <col min="9" max="9" width="2.77734375" customWidth="1"/>
    <col min="10" max="10" width="10.6640625" customWidth="1"/>
  </cols>
  <sheetData>
    <row r="1" spans="2:8" ht="59.25" customHeight="1">
      <c r="B1" s="31" t="str">
        <f>"Mayo "&amp;AñoCalendario</f>
        <v>Mayo 2026</v>
      </c>
      <c r="C1" s="32"/>
      <c r="D1" s="32"/>
      <c r="E1" s="33"/>
      <c r="F1" s="33"/>
      <c r="G1" s="33"/>
      <c r="H1" s="34"/>
    </row>
    <row r="2" spans="2:8" ht="21.75" customHeight="1">
      <c r="B2" s="5" t="str">
        <f>IF(InicioDeSemana="DOMINGO", "DOMINGO","LUNES")</f>
        <v>LUNES</v>
      </c>
      <c r="C2" s="5" t="str">
        <f t="shared" ref="C2:H2" si="0">UPPER(TEXT(C3,"dddd"))</f>
        <v>MARTES</v>
      </c>
      <c r="D2" s="5" t="str">
        <f t="shared" si="0"/>
        <v>MIÉRCOLES</v>
      </c>
      <c r="E2" s="5" t="str">
        <f t="shared" si="0"/>
        <v>JUEVES</v>
      </c>
      <c r="F2" s="5" t="str">
        <f t="shared" si="0"/>
        <v>VIERNES</v>
      </c>
      <c r="G2" s="5" t="str">
        <f t="shared" si="0"/>
        <v>SÁBADO</v>
      </c>
      <c r="H2" s="5" t="str">
        <f t="shared" si="0"/>
        <v>DOMINGO</v>
      </c>
    </row>
    <row r="3" spans="2:8" ht="19.5" customHeight="1">
      <c r="B3" s="59">
        <f t="array" ref="B3:H3">DaysAndWeeks+DATE(AñoCalendario,5,1)-WEEKDAY(DATE(AñoCalendario,5,1),(InicioDeSemana="LUNES")+1)+1</f>
        <v>46139</v>
      </c>
      <c r="C3" s="59">
        <v>46140</v>
      </c>
      <c r="D3" s="59">
        <v>46141</v>
      </c>
      <c r="E3" s="59">
        <v>46142</v>
      </c>
      <c r="F3" s="59">
        <v>46143</v>
      </c>
      <c r="G3" s="59">
        <v>46144</v>
      </c>
      <c r="H3" s="59">
        <v>46145</v>
      </c>
    </row>
    <row r="4" spans="2:8" ht="57.95" customHeight="1">
      <c r="B4" s="59"/>
      <c r="C4" s="59"/>
      <c r="D4" s="59"/>
      <c r="E4" s="83"/>
      <c r="F4" s="83" t="s">
        <v>37</v>
      </c>
      <c r="G4" s="80" t="s">
        <v>386</v>
      </c>
      <c r="H4" s="59"/>
    </row>
    <row r="5" spans="2:8" ht="57.95" customHeight="1">
      <c r="B5" s="59"/>
      <c r="C5" s="59"/>
      <c r="D5" s="59"/>
      <c r="E5" s="96"/>
      <c r="F5" s="96"/>
      <c r="G5" s="142"/>
      <c r="H5" s="59"/>
    </row>
    <row r="6" spans="2:8" ht="19.5" customHeight="1">
      <c r="B6" s="60">
        <f t="array" ref="B6:H6">DaysAndWeeks+DATE(AñoCalendario,5,1)-WEEKDAY(DATE(AñoCalendario,5,1),(InicioDeSemana="LUNES")+1)+8</f>
        <v>46146</v>
      </c>
      <c r="C6" s="60">
        <v>46147</v>
      </c>
      <c r="D6" s="60">
        <v>46148</v>
      </c>
      <c r="E6" s="60">
        <v>46149</v>
      </c>
      <c r="F6" s="60">
        <v>46150</v>
      </c>
      <c r="G6" s="60">
        <v>46151</v>
      </c>
      <c r="H6" s="60">
        <v>46152</v>
      </c>
    </row>
    <row r="7" spans="2:8" ht="57.95" customHeight="1">
      <c r="B7" s="83" t="s">
        <v>407</v>
      </c>
      <c r="C7" s="83" t="s">
        <v>406</v>
      </c>
      <c r="D7" s="83" t="s">
        <v>392</v>
      </c>
      <c r="E7" s="83" t="s">
        <v>402</v>
      </c>
      <c r="F7" s="83" t="s">
        <v>387</v>
      </c>
      <c r="G7" s="89" t="s">
        <v>268</v>
      </c>
      <c r="H7" s="60"/>
    </row>
    <row r="8" spans="2:8" ht="57.95" customHeight="1">
      <c r="B8" s="96" t="s">
        <v>369</v>
      </c>
      <c r="C8" s="96" t="s">
        <v>17</v>
      </c>
      <c r="D8" s="96" t="s">
        <v>331</v>
      </c>
      <c r="E8" s="96" t="s">
        <v>332</v>
      </c>
      <c r="F8" s="96" t="s">
        <v>247</v>
      </c>
      <c r="G8" s="59"/>
      <c r="H8" s="60"/>
    </row>
    <row r="9" spans="2:8" ht="19.5" customHeight="1">
      <c r="B9" s="59">
        <f t="array" ref="B9:H9">DaysAndWeeks+DATE(AñoCalendario,5,1)-WEEKDAY(DATE(AñoCalendario,5,1),(InicioDeSemana="LUNES")+1)+15</f>
        <v>46153</v>
      </c>
      <c r="C9" s="59">
        <v>46154</v>
      </c>
      <c r="D9" s="59">
        <v>46155</v>
      </c>
      <c r="E9" s="59">
        <v>46156</v>
      </c>
      <c r="F9" s="59">
        <v>46157</v>
      </c>
      <c r="G9" s="59">
        <v>46158</v>
      </c>
      <c r="H9" s="59">
        <v>46159</v>
      </c>
    </row>
    <row r="10" spans="2:8" ht="57.95" customHeight="1">
      <c r="B10" s="83" t="s">
        <v>408</v>
      </c>
      <c r="C10" s="83" t="s">
        <v>393</v>
      </c>
      <c r="D10" s="83" t="s">
        <v>392</v>
      </c>
      <c r="E10" s="83" t="s">
        <v>402</v>
      </c>
      <c r="F10" s="83" t="s">
        <v>387</v>
      </c>
      <c r="G10" s="89" t="s">
        <v>268</v>
      </c>
      <c r="H10" s="59"/>
    </row>
    <row r="11" spans="2:8" ht="57.95" customHeight="1">
      <c r="B11" s="96" t="s">
        <v>362</v>
      </c>
      <c r="C11" s="96" t="s">
        <v>17</v>
      </c>
      <c r="D11" s="96" t="s">
        <v>331</v>
      </c>
      <c r="E11" s="96" t="s">
        <v>332</v>
      </c>
      <c r="F11" s="96" t="s">
        <v>247</v>
      </c>
      <c r="G11" s="59"/>
      <c r="H11" s="59"/>
    </row>
    <row r="12" spans="2:8" ht="19.5" customHeight="1">
      <c r="B12" s="60">
        <f t="array" ref="B12:H12">DaysAndWeeks+DATE(AñoCalendario,5,1)-WEEKDAY(DATE(AñoCalendario,5,1),(InicioDeSemana="LUNES")+1)+22</f>
        <v>46160</v>
      </c>
      <c r="C12" s="60">
        <v>46161</v>
      </c>
      <c r="D12" s="60">
        <v>46162</v>
      </c>
      <c r="E12" s="60">
        <v>46163</v>
      </c>
      <c r="F12" s="60">
        <v>46164</v>
      </c>
      <c r="G12" s="60">
        <v>46165</v>
      </c>
      <c r="H12" s="60">
        <v>46166</v>
      </c>
    </row>
    <row r="13" spans="2:8" ht="57.95" customHeight="1">
      <c r="B13" s="83" t="s">
        <v>409</v>
      </c>
      <c r="C13" s="83" t="s">
        <v>405</v>
      </c>
      <c r="D13" s="83" t="s">
        <v>374</v>
      </c>
      <c r="E13" s="83" t="s">
        <v>401</v>
      </c>
      <c r="F13" s="83" t="s">
        <v>394</v>
      </c>
      <c r="G13" s="89" t="s">
        <v>268</v>
      </c>
      <c r="H13" s="60"/>
    </row>
    <row r="14" spans="2:8" ht="57.95" customHeight="1">
      <c r="B14" s="96" t="s">
        <v>369</v>
      </c>
      <c r="C14" s="96" t="s">
        <v>17</v>
      </c>
      <c r="D14" s="96" t="s">
        <v>331</v>
      </c>
      <c r="E14" s="96" t="s">
        <v>397</v>
      </c>
      <c r="F14" s="96" t="s">
        <v>247</v>
      </c>
      <c r="G14" s="59"/>
      <c r="H14" s="60"/>
    </row>
    <row r="15" spans="2:8" ht="19.5" customHeight="1">
      <c r="B15" s="59">
        <f t="array" ref="B15:H15">DaysAndWeeks+DATE(AñoCalendario,5,1)-WEEKDAY(DATE(AñoCalendario,5,1),(InicioDeSemana="LUNES")+1)+29</f>
        <v>46167</v>
      </c>
      <c r="C15" s="59">
        <v>46168</v>
      </c>
      <c r="D15" s="59">
        <v>46169</v>
      </c>
      <c r="E15" s="59">
        <v>46170</v>
      </c>
      <c r="F15" s="59">
        <v>46171</v>
      </c>
      <c r="G15" s="59">
        <v>46172</v>
      </c>
      <c r="H15" s="59">
        <v>46173</v>
      </c>
    </row>
    <row r="16" spans="2:8" ht="57.95" customHeight="1">
      <c r="B16" s="83" t="s">
        <v>395</v>
      </c>
      <c r="C16" s="83" t="s">
        <v>398</v>
      </c>
      <c r="D16" s="83" t="s">
        <v>374</v>
      </c>
      <c r="E16" s="83" t="s">
        <v>403</v>
      </c>
      <c r="F16" s="83" t="s">
        <v>400</v>
      </c>
      <c r="G16" s="89" t="s">
        <v>404</v>
      </c>
      <c r="H16" s="59"/>
    </row>
    <row r="17" spans="2:8" ht="57.95" customHeight="1">
      <c r="B17" s="96" t="s">
        <v>314</v>
      </c>
      <c r="C17" s="96" t="s">
        <v>17</v>
      </c>
      <c r="D17" s="96" t="s">
        <v>331</v>
      </c>
      <c r="E17" s="96" t="s">
        <v>399</v>
      </c>
      <c r="F17" s="96" t="s">
        <v>247</v>
      </c>
      <c r="G17" s="59"/>
      <c r="H17" s="59"/>
    </row>
    <row r="18" spans="2:8" ht="19.5" customHeight="1">
      <c r="B18" s="60">
        <f t="array" ref="B18:C18">DaysAndWeeks+DATE(AñoCalendario,5,1)-WEEKDAY(DATE(AñoCalendario,5,1),(InicioDeSemana="LUNES")+1)+36</f>
        <v>46174</v>
      </c>
      <c r="C18" s="60">
        <v>46175</v>
      </c>
      <c r="D18" s="63" t="s">
        <v>0</v>
      </c>
      <c r="E18" s="251"/>
      <c r="F18" s="251"/>
      <c r="G18" s="251"/>
      <c r="H18" s="252"/>
    </row>
    <row r="19" spans="2:8" ht="57.95" customHeight="1">
      <c r="B19" s="60"/>
      <c r="C19" s="60"/>
      <c r="D19" s="7"/>
      <c r="E19" s="253"/>
      <c r="F19" s="253"/>
      <c r="G19" s="253"/>
      <c r="H19" s="254"/>
    </row>
    <row r="23" spans="2:8" ht="15">
      <c r="B23" s="192"/>
      <c r="C23" s="193" t="s">
        <v>8</v>
      </c>
      <c r="D23" s="207" t="s">
        <v>9</v>
      </c>
      <c r="E23" s="207">
        <f>COUNTIF(B4:G17,"*estel*")</f>
        <v>2</v>
      </c>
      <c r="F23" s="191">
        <v>445.95</v>
      </c>
    </row>
    <row r="24" spans="2:8" ht="15">
      <c r="B24" s="192"/>
      <c r="C24" s="193" t="s">
        <v>263</v>
      </c>
      <c r="D24" s="210" t="s">
        <v>247</v>
      </c>
      <c r="E24" s="207">
        <f>COUNTIF(B4:G17,"*carlos*")</f>
        <v>27</v>
      </c>
      <c r="F24" s="191">
        <f>E24*25</f>
        <v>675</v>
      </c>
    </row>
    <row r="25" spans="2:8" ht="15">
      <c r="B25" s="192"/>
      <c r="C25" s="194" t="s">
        <v>16</v>
      </c>
      <c r="D25" s="207" t="s">
        <v>17</v>
      </c>
      <c r="E25" s="207">
        <f>COUNTIF(B4:G17,"*mario*")</f>
        <v>24</v>
      </c>
      <c r="F25" s="191">
        <v>1037.8499999999999</v>
      </c>
    </row>
    <row r="26" spans="2:8" ht="15">
      <c r="B26" s="192"/>
      <c r="C26" s="195" t="s">
        <v>276</v>
      </c>
      <c r="D26" s="208" t="s">
        <v>252</v>
      </c>
      <c r="E26" s="207">
        <f>COUNTIF(B4:G17,"*julia*")</f>
        <v>2</v>
      </c>
      <c r="F26" s="191">
        <f t="shared" ref="F26:F41" si="1">E26*25</f>
        <v>50</v>
      </c>
    </row>
    <row r="27" spans="2:8" ht="15">
      <c r="B27" s="192"/>
      <c r="C27" s="195" t="s">
        <v>277</v>
      </c>
      <c r="D27" s="206" t="s">
        <v>270</v>
      </c>
      <c r="E27" s="207">
        <f>COUNTIF(B4:G17,"*bruna*")</f>
        <v>4</v>
      </c>
      <c r="F27" s="191">
        <f t="shared" si="1"/>
        <v>100</v>
      </c>
    </row>
    <row r="28" spans="2:8" ht="14.25" customHeight="1">
      <c r="B28" s="192"/>
      <c r="C28" s="196" t="s">
        <v>302</v>
      </c>
      <c r="D28" s="208" t="s">
        <v>244</v>
      </c>
      <c r="E28" s="207">
        <f>COUNTIF(B4:G17,"*richard*")</f>
        <v>8</v>
      </c>
      <c r="F28" s="191">
        <f t="shared" si="1"/>
        <v>200</v>
      </c>
    </row>
    <row r="29" spans="2:8" ht="15">
      <c r="B29" s="192"/>
      <c r="C29" s="195" t="s">
        <v>284</v>
      </c>
      <c r="D29" s="208" t="s">
        <v>240</v>
      </c>
      <c r="E29" s="207">
        <f>COUNTIF(B4:G17,"*isaac*")</f>
        <v>3</v>
      </c>
      <c r="F29" s="191">
        <f t="shared" si="1"/>
        <v>75</v>
      </c>
    </row>
    <row r="30" spans="2:8" ht="14.25" customHeight="1">
      <c r="B30" s="192"/>
      <c r="C30" s="195" t="s">
        <v>161</v>
      </c>
      <c r="D30" s="208" t="s">
        <v>204</v>
      </c>
      <c r="E30" s="207">
        <f>COUNTIF(B4:G17,"*mary*")</f>
        <v>19</v>
      </c>
      <c r="F30" s="191">
        <f>E30*25-28</f>
        <v>447</v>
      </c>
    </row>
    <row r="31" spans="2:8" ht="14.25" customHeight="1">
      <c r="B31" s="192"/>
      <c r="C31" s="195" t="s">
        <v>279</v>
      </c>
      <c r="D31" s="208" t="s">
        <v>246</v>
      </c>
      <c r="E31" s="207">
        <f>COUNTIF(B4:G17,"*jota*")</f>
        <v>18</v>
      </c>
      <c r="F31" s="191">
        <f t="shared" si="1"/>
        <v>450</v>
      </c>
    </row>
    <row r="32" spans="2:8" ht="15">
      <c r="B32" s="192"/>
      <c r="C32" s="195" t="s">
        <v>367</v>
      </c>
      <c r="D32" s="209" t="s">
        <v>289</v>
      </c>
      <c r="E32" s="207">
        <f>COUNTIF(B4:G17,"*xavi*")</f>
        <v>8</v>
      </c>
      <c r="F32" s="191">
        <f>E32*25</f>
        <v>200</v>
      </c>
    </row>
    <row r="33" spans="2:6" ht="14.25" customHeight="1">
      <c r="B33" s="192"/>
      <c r="C33" s="195" t="s">
        <v>282</v>
      </c>
      <c r="D33" s="208" t="s">
        <v>248</v>
      </c>
      <c r="E33" s="207">
        <f>COUNTIF(B4:G17,"*montse*")</f>
        <v>15</v>
      </c>
      <c r="F33" s="191">
        <f t="shared" si="1"/>
        <v>375</v>
      </c>
    </row>
    <row r="34" spans="2:6">
      <c r="B34" s="264" t="s">
        <v>83</v>
      </c>
      <c r="C34" s="265"/>
      <c r="D34" s="208" t="s">
        <v>381</v>
      </c>
      <c r="E34" s="207">
        <f>COUNTIF(B4:G17,"*raul*")</f>
        <v>18</v>
      </c>
      <c r="F34" s="191">
        <f>E34*25-56</f>
        <v>394</v>
      </c>
    </row>
    <row r="35" spans="2:6" ht="14.25" customHeight="1">
      <c r="B35" s="192"/>
      <c r="C35" s="195" t="s">
        <v>280</v>
      </c>
      <c r="D35" s="208" t="s">
        <v>254</v>
      </c>
      <c r="E35" s="207">
        <f>COUNTIF(B4:G17,"*noemi*")</f>
        <v>4</v>
      </c>
      <c r="F35" s="191">
        <f>E35*25</f>
        <v>100</v>
      </c>
    </row>
    <row r="36" spans="2:6" ht="14.25" customHeight="1">
      <c r="B36" s="192"/>
      <c r="C36" s="195" t="s">
        <v>283</v>
      </c>
      <c r="D36" s="208" t="s">
        <v>239</v>
      </c>
      <c r="E36" s="207">
        <f>COUNTIF(B4:G17,"*manuela*")</f>
        <v>4</v>
      </c>
      <c r="F36" s="191">
        <f t="shared" si="1"/>
        <v>100</v>
      </c>
    </row>
    <row r="37" spans="2:6" ht="14.25" customHeight="1">
      <c r="B37" s="192"/>
      <c r="C37" s="198" t="s">
        <v>18</v>
      </c>
      <c r="D37" s="183" t="s">
        <v>245</v>
      </c>
      <c r="E37" s="181">
        <f>COUNTIF(B4:G17,"*laura*")</f>
        <v>6</v>
      </c>
      <c r="F37" s="190">
        <f t="shared" si="1"/>
        <v>150</v>
      </c>
    </row>
    <row r="38" spans="2:6" ht="14.25" customHeight="1">
      <c r="B38" s="264" t="s">
        <v>95</v>
      </c>
      <c r="C38" s="265"/>
      <c r="D38" s="208" t="s">
        <v>90</v>
      </c>
      <c r="E38" s="207">
        <f>COUNTIF(B4:G17,"*nuria*")</f>
        <v>9</v>
      </c>
      <c r="F38" s="191">
        <f t="shared" si="1"/>
        <v>225</v>
      </c>
    </row>
    <row r="39" spans="2:6" ht="15" customHeight="1">
      <c r="B39" s="266" t="s">
        <v>264</v>
      </c>
      <c r="C39" s="267"/>
      <c r="D39" s="212" t="s">
        <v>385</v>
      </c>
      <c r="E39" s="207">
        <f>COUNTIF(B4:G17,"*alex*")</f>
        <v>7</v>
      </c>
      <c r="F39" s="191">
        <f t="shared" si="1"/>
        <v>175</v>
      </c>
    </row>
    <row r="40" spans="2:6" ht="15">
      <c r="B40" s="192"/>
      <c r="C40" s="195" t="s">
        <v>300</v>
      </c>
      <c r="D40" s="211" t="s">
        <v>297</v>
      </c>
      <c r="E40" s="207">
        <f>COUNTIF(B4:G17,"*arnau*")</f>
        <v>5</v>
      </c>
      <c r="F40" s="191">
        <f t="shared" si="1"/>
        <v>125</v>
      </c>
    </row>
    <row r="41" spans="2:6" ht="15">
      <c r="B41" s="192"/>
      <c r="C41" s="195" t="s">
        <v>168</v>
      </c>
      <c r="D41" s="208" t="s">
        <v>257</v>
      </c>
      <c r="E41" s="207">
        <f>COUNTIF(B4:G17,"*asencio*")</f>
        <v>4</v>
      </c>
      <c r="F41" s="191">
        <f t="shared" si="1"/>
        <v>100</v>
      </c>
    </row>
    <row r="42" spans="2:6" ht="15">
      <c r="B42" s="192"/>
      <c r="C42" s="198"/>
      <c r="D42" s="208" t="s">
        <v>258</v>
      </c>
      <c r="E42" s="207">
        <f>COUNTIF(B4:G17,"*estel*")</f>
        <v>2</v>
      </c>
      <c r="F42" s="191">
        <v>1041.8399999999999</v>
      </c>
    </row>
    <row r="43" spans="2:6" ht="15">
      <c r="B43" s="192"/>
      <c r="C43" s="198"/>
      <c r="D43" s="208" t="s">
        <v>259</v>
      </c>
      <c r="E43" s="207">
        <f>COUNTIF(B4:G17,"*shamil*")</f>
        <v>1</v>
      </c>
      <c r="F43" s="191">
        <f>691.89+70</f>
        <v>761.89</v>
      </c>
    </row>
    <row r="44" spans="2:6" ht="15">
      <c r="B44" s="192"/>
      <c r="C44" s="195" t="s">
        <v>278</v>
      </c>
      <c r="D44" s="208" t="s">
        <v>242</v>
      </c>
      <c r="E44" s="207">
        <f>COUNTIF(B4:G17,"*salva*")</f>
        <v>21</v>
      </c>
      <c r="F44" s="191">
        <f>E44*25</f>
        <v>525</v>
      </c>
    </row>
    <row r="45" spans="2:6" ht="15">
      <c r="B45" s="192"/>
      <c r="C45" s="195" t="s">
        <v>307</v>
      </c>
      <c r="D45" s="209" t="s">
        <v>290</v>
      </c>
      <c r="E45" s="207">
        <f>COUNTIF(B4:G17,"*torralba*")</f>
        <v>5</v>
      </c>
      <c r="F45" s="191">
        <f>E45*15</f>
        <v>75</v>
      </c>
    </row>
    <row r="46" spans="2:6">
      <c r="B46" s="264" t="s">
        <v>237</v>
      </c>
      <c r="C46" s="265"/>
      <c r="D46" s="207" t="s">
        <v>26</v>
      </c>
      <c r="E46" s="207">
        <f>COUNTIF(B4:G17,"*lolo*")</f>
        <v>7</v>
      </c>
      <c r="F46" s="191">
        <f>E46*25</f>
        <v>175</v>
      </c>
    </row>
    <row r="47" spans="2:6" ht="15" customHeight="1">
      <c r="B47" s="197"/>
      <c r="C47" s="197"/>
      <c r="D47" s="187" t="s">
        <v>265</v>
      </c>
      <c r="E47" s="181">
        <f>COUNTIF(B4:G17,"*ishtar*")</f>
        <v>3</v>
      </c>
      <c r="F47" s="190">
        <f>E47*15</f>
        <v>45</v>
      </c>
    </row>
    <row r="48" spans="2:6">
      <c r="B48" s="199" t="s">
        <v>18</v>
      </c>
      <c r="C48" s="199"/>
      <c r="D48" s="187" t="s">
        <v>266</v>
      </c>
      <c r="E48" s="181">
        <f>COUNTIF(B4:G17,"*matias*")</f>
        <v>3</v>
      </c>
      <c r="F48" s="191">
        <f t="shared" ref="F48:F49" si="2">E48*15</f>
        <v>45</v>
      </c>
    </row>
    <row r="49" spans="2:6">
      <c r="B49" s="199"/>
      <c r="C49" s="200" t="s">
        <v>18</v>
      </c>
      <c r="D49" s="188" t="s">
        <v>304</v>
      </c>
      <c r="E49" s="181">
        <f>COUNTIF(B4:G17,"*iria*")</f>
        <v>4</v>
      </c>
      <c r="F49" s="191">
        <f t="shared" si="2"/>
        <v>60</v>
      </c>
    </row>
    <row r="50" spans="2:6">
      <c r="B50" s="201"/>
      <c r="C50" s="201"/>
      <c r="D50" s="188" t="s">
        <v>345</v>
      </c>
      <c r="E50" s="181">
        <f>COUNTIF(B4:G17,"*manolo*")</f>
        <v>11</v>
      </c>
      <c r="F50" s="191">
        <f>E50*25</f>
        <v>275</v>
      </c>
    </row>
    <row r="51" spans="2:6">
      <c r="B51" s="201"/>
      <c r="C51" s="201"/>
      <c r="D51" s="189" t="s">
        <v>275</v>
      </c>
      <c r="E51" s="181">
        <f>COUNTIF(B4:G17,"*berta*")</f>
        <v>3</v>
      </c>
      <c r="F51" s="190">
        <f>E51*10</f>
        <v>30</v>
      </c>
    </row>
    <row r="52" spans="2:6">
      <c r="B52" s="201"/>
      <c r="C52" s="201"/>
      <c r="D52" s="189" t="s">
        <v>356</v>
      </c>
      <c r="E52" s="181">
        <f>COUNTIF(B4:G17,"*ingrid*")</f>
        <v>3</v>
      </c>
      <c r="F52" s="190">
        <f>E52*10</f>
        <v>30</v>
      </c>
    </row>
    <row r="53" spans="2:6">
      <c r="B53" s="201"/>
      <c r="C53" s="201"/>
      <c r="D53" s="205" t="s">
        <v>396</v>
      </c>
      <c r="E53" s="181">
        <f>COUNTIF(B5:G18,"*Nil*")</f>
        <v>5</v>
      </c>
      <c r="F53" s="190"/>
    </row>
    <row r="54" spans="2:6">
      <c r="B54" s="190"/>
      <c r="C54" s="202"/>
      <c r="D54" s="183" t="s">
        <v>260</v>
      </c>
      <c r="E54" s="181"/>
      <c r="F54" s="191">
        <v>1826.45</v>
      </c>
    </row>
    <row r="55" spans="2:6">
      <c r="C55" s="77"/>
      <c r="D55" s="78" t="s">
        <v>28</v>
      </c>
      <c r="E55" s="77">
        <f>SUM(E23:E54)</f>
        <v>255</v>
      </c>
      <c r="F55">
        <f>SUM(F23:F54)</f>
        <v>10314.980000000001</v>
      </c>
    </row>
  </sheetData>
  <mergeCells count="5">
    <mergeCell ref="B34:C34"/>
    <mergeCell ref="B38:C38"/>
    <mergeCell ref="B39:C39"/>
    <mergeCell ref="B46:C46"/>
    <mergeCell ref="E18:H19"/>
  </mergeCells>
  <conditionalFormatting sqref="B18:D18">
    <cfRule type="expression" dxfId="47" priority="1">
      <formula>AND(DAY(B18)&gt;=1,DAY(B18)&lt;=15)</formula>
    </cfRule>
  </conditionalFormatting>
  <conditionalFormatting sqref="B3:G3">
    <cfRule type="expression" dxfId="46" priority="3">
      <formula>DAY(B3)&gt;8</formula>
    </cfRule>
  </conditionalFormatting>
  <conditionalFormatting sqref="B15:H15">
    <cfRule type="expression" dxfId="45" priority="4">
      <formula>AND(DAY(B15)&gt;=1,DAY(B15)&lt;=15)</formula>
    </cfRule>
  </conditionalFormatting>
  <dataValidations count="9">
    <dataValidation allowBlank="1" showInputMessage="1" showErrorMessage="1" prompt="El día de la semana se determinará automáticamente" sqref="C2:H2" xr:uid="{00000000-0002-0000-0400-000000000000}"/>
    <dataValidation allowBlank="1" showErrorMessage="1" prompt="El año de esta celda se actualiza automáticamente según el año especificado en la hoja de cálculo de Enero. El calendario siguiente incluye fechas de los meses anterior y posterior con un sombreado de fuente más claro." sqref="B1" xr:uid="{00000000-0002-0000-0400-000001000000}"/>
    <dataValidation allowBlank="1" showInputMessage="1" showErrorMessage="1" prompt="Esta fila y las filas 5, 7, 9, 11 y 13 contienen días naturales de la semana. Si esta celda no contiene el número 1, se trata de un día del mes anterior. Escriba notas en la celda E13." sqref="B3" xr:uid="{00000000-0002-0000-0400-000002000000}"/>
    <dataValidation allowBlank="1" showInputMessage="1" showErrorMessage="1" prompt="Esta fila contiene los nombres de los días laborables de este calendario. Esta celda contiene el día de inicio de la semana. Para cambiar el día de inicio, escriba un nuevo día laborable en la celda K4 de la hoja de cálculo Enero." sqref="B2" xr:uid="{00000000-0002-0000-0400-000003000000}"/>
    <dataValidation allowBlank="1" showInputMessage="1" showErrorMessage="1" prompt="Calendario del mes de mayo" sqref="A1" xr:uid="{00000000-0002-0000-0400-000005000000}"/>
    <dataValidation allowBlank="1" showInputMessage="1" showErrorMessage="1" prompt="Escriba notas en la celda a la derecha." sqref="D18:D19" xr:uid="{00000000-0002-0000-0400-000006000000}"/>
    <dataValidation allowBlank="1" showInputMessage="1" showErrorMessage="1" prompt="Escriba notas en esta celda." sqref="E18:H19" xr:uid="{00000000-0002-0000-0400-000007000000}"/>
    <dataValidation allowBlank="1" showInputMessage="1" showErrorMessage="1" prompt="Las celdas de esta fila y las filas 6, 8, 10, 12 y 14 son para escribir notas diarias relacionadas con el día natural de la celda anterior." sqref="B4:B5 B8 B11 B14 B17" xr:uid="{00000000-0002-0000-0400-000008000000}"/>
    <dataValidation allowBlank="1" showInputMessage="1" showErrorMessage="1" prompt="El año en esta celda se actualiza automáticamente. Seleccione otro año en la celda K3 de la hoja de cálculo Enero para cambiar el año" sqref="C1" xr:uid="{ABE90B0D-7A98-427F-982B-03C8A65C5CD7}"/>
  </dataValidations>
  <printOptions horizontalCentered="1" verticalCentered="1"/>
  <pageMargins left="0.7" right="0.7" top="0.75" bottom="0.75" header="0.3" footer="0.3"/>
  <pageSetup paperSize="9" scale="83" orientation="landscape" r:id="rId1"/>
  <headerFooter differentFirst="1">
    <oddFooter>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7" tint="0.59999389629810485"/>
    <pageSetUpPr fitToPage="1"/>
  </sheetPr>
  <dimension ref="B1:H64"/>
  <sheetViews>
    <sheetView showGridLines="0" topLeftCell="A16" zoomScale="90" zoomScaleNormal="90" workbookViewId="0">
      <selection activeCell="C48" sqref="C48:D48"/>
    </sheetView>
  </sheetViews>
  <sheetFormatPr baseColWidth="10" defaultColWidth="8.88671875" defaultRowHeight="14.25"/>
  <cols>
    <col min="1" max="1" width="2.77734375" customWidth="1"/>
    <col min="2" max="2" width="18.44140625" customWidth="1"/>
    <col min="3" max="8" width="17.77734375" customWidth="1"/>
    <col min="9" max="9" width="2.77734375" customWidth="1"/>
    <col min="10" max="10" width="10.6640625" customWidth="1"/>
  </cols>
  <sheetData>
    <row r="1" spans="2:8" ht="59.25" customHeight="1">
      <c r="B1" s="17" t="str">
        <f>"Junio "&amp;AñoCalendario</f>
        <v>Junio 2026</v>
      </c>
      <c r="C1" s="18"/>
      <c r="D1" s="18"/>
      <c r="E1" s="19"/>
      <c r="F1" s="19"/>
      <c r="G1" s="19"/>
      <c r="H1" s="20"/>
    </row>
    <row r="2" spans="2:8" ht="21.75" customHeight="1">
      <c r="B2" s="5" t="str">
        <f>IF(InicioDeSemana="DOMINGO", "DOMINGO","LUNES")</f>
        <v>LUNES</v>
      </c>
      <c r="C2" s="5" t="str">
        <f t="shared" ref="C2:H2" si="0">UPPER(TEXT(C3,"dddd"))</f>
        <v>MARTES</v>
      </c>
      <c r="D2" s="5" t="str">
        <f t="shared" si="0"/>
        <v>MIÉRCOLES</v>
      </c>
      <c r="E2" s="5" t="str">
        <f t="shared" si="0"/>
        <v>JUEVES</v>
      </c>
      <c r="F2" s="5" t="str">
        <f t="shared" si="0"/>
        <v>VIERNES</v>
      </c>
      <c r="G2" s="5" t="str">
        <f t="shared" si="0"/>
        <v>SÁBADO</v>
      </c>
      <c r="H2" s="5" t="str">
        <f t="shared" si="0"/>
        <v>DOMINGO</v>
      </c>
    </row>
    <row r="3" spans="2:8" ht="19.5" customHeight="1">
      <c r="B3" s="59">
        <f t="array" ref="B3:H3">DaysAndWeeks+DATE(AñoCalendario,6,1)-WEEKDAY(DATE(AñoCalendario,6,1),(InicioDeSemana="LUNES")+1)+1</f>
        <v>46174</v>
      </c>
      <c r="C3" s="59">
        <v>46175</v>
      </c>
      <c r="D3" s="59">
        <v>46176</v>
      </c>
      <c r="E3" s="59">
        <v>46177</v>
      </c>
      <c r="F3" s="59">
        <v>46178</v>
      </c>
      <c r="G3" s="59">
        <v>46179</v>
      </c>
      <c r="H3" s="59">
        <v>46180</v>
      </c>
    </row>
    <row r="4" spans="2:8" ht="57.95" customHeight="1">
      <c r="B4" s="83" t="s">
        <v>417</v>
      </c>
      <c r="C4" s="83" t="s">
        <v>415</v>
      </c>
      <c r="D4" s="83" t="s">
        <v>418</v>
      </c>
      <c r="E4" s="83" t="s">
        <v>411</v>
      </c>
      <c r="F4" s="83" t="s">
        <v>387</v>
      </c>
      <c r="G4" s="82" t="s">
        <v>421</v>
      </c>
      <c r="H4" s="59"/>
    </row>
    <row r="5" spans="2:8" ht="57.95" customHeight="1">
      <c r="B5" s="96" t="s">
        <v>362</v>
      </c>
      <c r="C5" s="96" t="s">
        <v>17</v>
      </c>
      <c r="D5" s="96" t="s">
        <v>331</v>
      </c>
      <c r="E5" s="96" t="s">
        <v>410</v>
      </c>
      <c r="F5" s="96" t="s">
        <v>247</v>
      </c>
      <c r="G5" s="59"/>
      <c r="H5" s="59"/>
    </row>
    <row r="6" spans="2:8" ht="19.5" customHeight="1">
      <c r="B6" s="60">
        <f t="array" ref="B6:H6">DaysAndWeeks+DATE(AñoCalendario,6,1)-WEEKDAY(DATE(AñoCalendario,6,1),(InicioDeSemana="LUNES")+1)+8</f>
        <v>46181</v>
      </c>
      <c r="C6" s="60">
        <v>46182</v>
      </c>
      <c r="D6" s="60">
        <v>46183</v>
      </c>
      <c r="E6" s="60">
        <v>46184</v>
      </c>
      <c r="F6" s="60">
        <v>46185</v>
      </c>
      <c r="G6" s="60">
        <v>46186</v>
      </c>
      <c r="H6" s="60">
        <v>46187</v>
      </c>
    </row>
    <row r="7" spans="2:8" ht="57.95" customHeight="1">
      <c r="B7" s="83" t="s">
        <v>414</v>
      </c>
      <c r="C7" s="83" t="s">
        <v>416</v>
      </c>
      <c r="D7" s="83" t="s">
        <v>419</v>
      </c>
      <c r="E7" s="83" t="s">
        <v>412</v>
      </c>
      <c r="F7" s="83" t="s">
        <v>387</v>
      </c>
      <c r="G7" s="80" t="s">
        <v>421</v>
      </c>
      <c r="H7" s="60"/>
    </row>
    <row r="8" spans="2:8" ht="57.95" customHeight="1">
      <c r="B8" s="96" t="s">
        <v>362</v>
      </c>
      <c r="C8" s="96" t="s">
        <v>17</v>
      </c>
      <c r="D8" s="96" t="s">
        <v>331</v>
      </c>
      <c r="E8" s="96" t="s">
        <v>410</v>
      </c>
      <c r="F8" s="96" t="s">
        <v>247</v>
      </c>
      <c r="G8" s="60"/>
      <c r="H8" s="60"/>
    </row>
    <row r="9" spans="2:8" ht="19.5" customHeight="1">
      <c r="B9" s="59">
        <f t="array" ref="B9:H9">DaysAndWeeks+DATE(AñoCalendario,6,1)-WEEKDAY(DATE(AñoCalendario,6,1),(InicioDeSemana="LUNES")+1)+15</f>
        <v>46188</v>
      </c>
      <c r="C9" s="59">
        <v>46189</v>
      </c>
      <c r="D9" s="59">
        <v>46190</v>
      </c>
      <c r="E9" s="59">
        <v>46191</v>
      </c>
      <c r="F9" s="59">
        <v>46192</v>
      </c>
      <c r="G9" s="59">
        <v>46193</v>
      </c>
      <c r="H9" s="59">
        <v>46194</v>
      </c>
    </row>
    <row r="10" spans="2:8" ht="57.95" customHeight="1">
      <c r="B10" s="83" t="s">
        <v>414</v>
      </c>
      <c r="C10" s="83" t="s">
        <v>415</v>
      </c>
      <c r="D10" s="83" t="s">
        <v>420</v>
      </c>
      <c r="E10" s="83" t="s">
        <v>412</v>
      </c>
      <c r="F10" s="83" t="s">
        <v>413</v>
      </c>
      <c r="G10" s="59"/>
      <c r="H10" s="59"/>
    </row>
    <row r="11" spans="2:8" ht="57.95" customHeight="1">
      <c r="B11" s="96" t="s">
        <v>362</v>
      </c>
      <c r="C11" s="96" t="s">
        <v>17</v>
      </c>
      <c r="D11" s="96" t="s">
        <v>331</v>
      </c>
      <c r="E11" s="96" t="s">
        <v>410</v>
      </c>
      <c r="F11" s="96" t="s">
        <v>247</v>
      </c>
      <c r="G11" s="59"/>
      <c r="H11" s="59"/>
    </row>
    <row r="12" spans="2:8" ht="19.5" customHeight="1">
      <c r="B12" s="60">
        <f t="array" ref="B12:H12">DaysAndWeeks+DATE(AñoCalendario,6,1)-WEEKDAY(DATE(AñoCalendario,6,1),(InicioDeSemana="LUNES")+1)+22</f>
        <v>46195</v>
      </c>
      <c r="C12" s="60">
        <v>46196</v>
      </c>
      <c r="D12" s="60">
        <v>46197</v>
      </c>
      <c r="E12" s="60">
        <v>46198</v>
      </c>
      <c r="F12" s="60">
        <v>46199</v>
      </c>
      <c r="G12" s="60">
        <v>46200</v>
      </c>
      <c r="H12" s="60">
        <v>46201</v>
      </c>
    </row>
    <row r="13" spans="2:8" ht="57.95" customHeight="1">
      <c r="B13" s="83"/>
      <c r="C13" s="83"/>
      <c r="D13" s="83"/>
      <c r="E13" s="83"/>
      <c r="F13" s="83"/>
      <c r="G13" s="60"/>
      <c r="H13" s="60"/>
    </row>
    <row r="14" spans="2:8" ht="57.95" customHeight="1">
      <c r="B14" s="144"/>
      <c r="C14" s="144"/>
      <c r="D14" s="144"/>
      <c r="E14" s="144"/>
      <c r="F14" s="144"/>
      <c r="G14" s="60"/>
      <c r="H14" s="60"/>
    </row>
    <row r="15" spans="2:8" ht="19.5" customHeight="1">
      <c r="B15" s="59">
        <f t="array" ref="B15:H15">DaysAndWeeks+DATE(AñoCalendario,6,1)-WEEKDAY(DATE(AñoCalendario,6,1),(InicioDeSemana="LUNES")+1)+29</f>
        <v>46202</v>
      </c>
      <c r="C15" s="59">
        <v>46203</v>
      </c>
      <c r="D15" s="59">
        <v>46204</v>
      </c>
      <c r="E15" s="59">
        <v>46205</v>
      </c>
      <c r="F15" s="59">
        <v>46206</v>
      </c>
      <c r="G15" s="59">
        <v>46207</v>
      </c>
      <c r="H15" s="59">
        <v>46208</v>
      </c>
    </row>
    <row r="16" spans="2:8" ht="57.95" customHeight="1">
      <c r="B16" s="59"/>
      <c r="C16" s="59"/>
      <c r="D16" s="59"/>
      <c r="E16" s="59"/>
      <c r="F16" s="59"/>
      <c r="G16" s="59"/>
      <c r="H16" s="59"/>
    </row>
    <row r="17" spans="2:8" ht="19.5" customHeight="1">
      <c r="B17" s="60">
        <f t="array" ref="B17:C17">DaysAndWeeks+DATE(AñoCalendario,6,1)-WEEKDAY(DATE(AñoCalendario,6,1),(InicioDeSemana="LUNES")+1)+36</f>
        <v>46209</v>
      </c>
      <c r="C17" s="60">
        <v>46210</v>
      </c>
      <c r="D17" s="63" t="s">
        <v>0</v>
      </c>
      <c r="E17" s="251"/>
      <c r="F17" s="251"/>
      <c r="G17" s="251"/>
      <c r="H17" s="252"/>
    </row>
    <row r="18" spans="2:8" ht="57.95" customHeight="1">
      <c r="B18" s="60"/>
      <c r="C18" s="60"/>
      <c r="D18" s="7"/>
      <c r="E18" s="253"/>
      <c r="F18" s="253"/>
      <c r="G18" s="253"/>
      <c r="H18" s="254"/>
    </row>
    <row r="24" spans="2:8">
      <c r="D24" t="s">
        <v>437</v>
      </c>
      <c r="E24" t="s">
        <v>438</v>
      </c>
      <c r="F24" t="s">
        <v>439</v>
      </c>
      <c r="G24" t="s">
        <v>440</v>
      </c>
    </row>
    <row r="25" spans="2:8" ht="15">
      <c r="C25" s="192"/>
      <c r="D25" s="193" t="s">
        <v>8</v>
      </c>
      <c r="E25" s="181" t="s">
        <v>9</v>
      </c>
      <c r="F25" s="181">
        <f>COUNTIF(B2:H16,"*estel*")</f>
        <v>1</v>
      </c>
      <c r="G25" s="191">
        <v>445.95</v>
      </c>
    </row>
    <row r="26" spans="2:8" ht="15">
      <c r="C26" s="192"/>
      <c r="D26" s="193" t="s">
        <v>263</v>
      </c>
      <c r="E26" s="182" t="s">
        <v>247</v>
      </c>
      <c r="F26" s="181">
        <f>COUNTIF(B2:H16,"*carlos*")</f>
        <v>17</v>
      </c>
      <c r="G26" s="191">
        <f>F26*25</f>
        <v>425</v>
      </c>
    </row>
    <row r="27" spans="2:8" ht="15">
      <c r="C27" s="192"/>
      <c r="D27" s="194" t="s">
        <v>16</v>
      </c>
      <c r="E27" s="181" t="s">
        <v>17</v>
      </c>
      <c r="F27" s="181">
        <f>COUNTIF(B2:H16,"*mario*")</f>
        <v>21</v>
      </c>
      <c r="G27" s="191">
        <v>1222.3499999999999</v>
      </c>
    </row>
    <row r="28" spans="2:8" ht="15">
      <c r="C28" s="192"/>
      <c r="D28" s="195" t="s">
        <v>276</v>
      </c>
      <c r="E28" s="183" t="s">
        <v>252</v>
      </c>
      <c r="F28" s="181">
        <f>COUNTIF(B2:H16,"*julia*")</f>
        <v>3</v>
      </c>
      <c r="G28" s="191">
        <f t="shared" ref="G28:G42" si="1">F28*25</f>
        <v>75</v>
      </c>
    </row>
    <row r="29" spans="2:8" ht="15">
      <c r="C29" s="192"/>
      <c r="D29" s="195" t="s">
        <v>277</v>
      </c>
      <c r="E29" s="184" t="s">
        <v>270</v>
      </c>
      <c r="F29" s="181">
        <f>COUNTIF(B2:H16,"*bruna*")</f>
        <v>2</v>
      </c>
      <c r="G29" s="191">
        <f t="shared" si="1"/>
        <v>50</v>
      </c>
    </row>
    <row r="30" spans="2:8" ht="14.25" customHeight="1">
      <c r="C30" s="192"/>
      <c r="D30" s="196" t="s">
        <v>302</v>
      </c>
      <c r="E30" s="183" t="s">
        <v>244</v>
      </c>
      <c r="F30" s="181">
        <f>COUNTIF(B2:H16,"*richard*")</f>
        <v>8</v>
      </c>
      <c r="G30" s="191">
        <f t="shared" si="1"/>
        <v>200</v>
      </c>
    </row>
    <row r="31" spans="2:8" ht="15">
      <c r="C31" s="192"/>
      <c r="D31" s="195" t="s">
        <v>284</v>
      </c>
      <c r="E31" s="183" t="s">
        <v>240</v>
      </c>
      <c r="F31" s="181">
        <f>COUNTIF(B2:H16,"*isaac*")</f>
        <v>2</v>
      </c>
      <c r="G31" s="191">
        <f t="shared" si="1"/>
        <v>50</v>
      </c>
    </row>
    <row r="32" spans="2:8" ht="14.25" customHeight="1">
      <c r="C32" s="192"/>
      <c r="D32" s="195" t="s">
        <v>161</v>
      </c>
      <c r="E32" s="183" t="s">
        <v>204</v>
      </c>
      <c r="F32" s="181">
        <f>COUNTIF(B2:H16,"*mary*")</f>
        <v>12</v>
      </c>
      <c r="G32" s="191">
        <v>684.77</v>
      </c>
    </row>
    <row r="33" spans="3:7" ht="15">
      <c r="C33" s="192"/>
      <c r="D33" s="195" t="s">
        <v>279</v>
      </c>
      <c r="E33" s="183" t="s">
        <v>246</v>
      </c>
      <c r="F33" s="181">
        <f>COUNTIF(B2:H16,"*jota*")</f>
        <v>5</v>
      </c>
      <c r="G33" s="191">
        <v>214.74</v>
      </c>
    </row>
    <row r="34" spans="3:7" ht="14.25" customHeight="1">
      <c r="C34" s="192"/>
      <c r="D34" s="195" t="s">
        <v>367</v>
      </c>
      <c r="E34" s="185" t="s">
        <v>289</v>
      </c>
      <c r="F34" s="181">
        <f>COUNTIF(B2:H16,"*xavi*")</f>
        <v>5</v>
      </c>
      <c r="G34" s="191">
        <v>537.77</v>
      </c>
    </row>
    <row r="35" spans="3:7" ht="14.25" customHeight="1">
      <c r="C35" s="192"/>
      <c r="D35" s="195" t="s">
        <v>282</v>
      </c>
      <c r="E35" s="183" t="s">
        <v>248</v>
      </c>
      <c r="F35" s="181">
        <f>COUNTIF(B2:H16,"*montse*")</f>
        <v>15</v>
      </c>
      <c r="G35" s="191">
        <f t="shared" si="1"/>
        <v>375</v>
      </c>
    </row>
    <row r="36" spans="3:7" ht="14.25" customHeight="1">
      <c r="C36" s="264" t="s">
        <v>83</v>
      </c>
      <c r="D36" s="265"/>
      <c r="E36" s="215" t="s">
        <v>36</v>
      </c>
      <c r="F36" s="181">
        <f>COUNTIF(B2:H16,"*raul*")</f>
        <v>11</v>
      </c>
      <c r="G36" s="191">
        <v>631.77</v>
      </c>
    </row>
    <row r="37" spans="3:7" ht="14.25" customHeight="1">
      <c r="C37" s="192"/>
      <c r="D37" s="195" t="s">
        <v>280</v>
      </c>
      <c r="E37" s="183" t="s">
        <v>254</v>
      </c>
      <c r="F37" s="181">
        <f>COUNTIF(B2:H16,"*noemi*")</f>
        <v>3</v>
      </c>
      <c r="G37" s="191">
        <f>F37*25</f>
        <v>75</v>
      </c>
    </row>
    <row r="38" spans="3:7" ht="15">
      <c r="C38" s="192"/>
      <c r="D38" s="195" t="s">
        <v>283</v>
      </c>
      <c r="E38" s="183" t="s">
        <v>239</v>
      </c>
      <c r="F38" s="181">
        <f>COUNTIF(B2:H16,"*manuela*")</f>
        <v>2</v>
      </c>
      <c r="G38" s="191">
        <f t="shared" si="1"/>
        <v>50</v>
      </c>
    </row>
    <row r="39" spans="3:7" ht="14.25" customHeight="1">
      <c r="C39" s="266" t="s">
        <v>423</v>
      </c>
      <c r="D39" s="270"/>
      <c r="E39" s="215" t="s">
        <v>424</v>
      </c>
      <c r="F39" s="181">
        <f>COUNTIF(B2:H16,"*laura*")</f>
        <v>0</v>
      </c>
      <c r="G39" s="191">
        <v>406.05</v>
      </c>
    </row>
    <row r="40" spans="3:7" ht="14.25" customHeight="1">
      <c r="C40" s="264" t="s">
        <v>95</v>
      </c>
      <c r="D40" s="265"/>
      <c r="E40" s="183" t="s">
        <v>90</v>
      </c>
      <c r="F40" s="181">
        <f>COUNTIF(B2:H16,"*nuria*")</f>
        <v>5</v>
      </c>
      <c r="G40" s="191">
        <f t="shared" si="1"/>
        <v>125</v>
      </c>
    </row>
    <row r="41" spans="3:7" ht="15">
      <c r="C41" s="266" t="s">
        <v>264</v>
      </c>
      <c r="D41" s="267"/>
      <c r="E41" s="203" t="s">
        <v>385</v>
      </c>
      <c r="F41" s="181">
        <f>COUNTIF(B2:H16,"*alex*")</f>
        <v>0</v>
      </c>
      <c r="G41" s="190">
        <f t="shared" si="1"/>
        <v>0</v>
      </c>
    </row>
    <row r="42" spans="3:7" ht="15">
      <c r="C42" s="192"/>
      <c r="D42" s="195" t="s">
        <v>300</v>
      </c>
      <c r="E42" s="186" t="s">
        <v>297</v>
      </c>
      <c r="F42" s="181">
        <f>COUNTIF(B2:H16,"*arnau*")</f>
        <v>3</v>
      </c>
      <c r="G42" s="191">
        <f t="shared" si="1"/>
        <v>75</v>
      </c>
    </row>
    <row r="43" spans="3:7" ht="15">
      <c r="C43" s="192"/>
      <c r="D43" s="195" t="s">
        <v>168</v>
      </c>
      <c r="E43" s="183" t="s">
        <v>257</v>
      </c>
      <c r="F43" s="181">
        <f>COUNTIF(B2:H16,"*asencio*")</f>
        <v>2</v>
      </c>
      <c r="G43" s="191">
        <v>154.30000000000001</v>
      </c>
    </row>
    <row r="44" spans="3:7" ht="15">
      <c r="C44" s="192"/>
      <c r="D44" s="195"/>
      <c r="E44" s="183" t="s">
        <v>258</v>
      </c>
      <c r="F44" s="181">
        <f>COUNTIF(B2:H16,"*estel*")</f>
        <v>1</v>
      </c>
      <c r="G44" s="191">
        <v>1219</v>
      </c>
    </row>
    <row r="45" spans="3:7" ht="15">
      <c r="C45" s="192"/>
      <c r="D45" s="195" t="s">
        <v>422</v>
      </c>
      <c r="E45" s="183" t="s">
        <v>259</v>
      </c>
      <c r="F45" s="181">
        <f>COUNTIF(B2:H16,"*shamil*")</f>
        <v>0</v>
      </c>
      <c r="G45" s="191">
        <v>897.09</v>
      </c>
    </row>
    <row r="46" spans="3:7" ht="15">
      <c r="C46" s="192"/>
      <c r="D46" s="195" t="s">
        <v>278</v>
      </c>
      <c r="E46" s="183" t="s">
        <v>242</v>
      </c>
      <c r="F46" s="181">
        <f>COUNTIF(B2:H16,"*salva*")</f>
        <v>12</v>
      </c>
      <c r="G46" s="191">
        <f>F46*25</f>
        <v>300</v>
      </c>
    </row>
    <row r="47" spans="3:7" ht="15">
      <c r="C47" s="192"/>
      <c r="D47" s="195" t="s">
        <v>33</v>
      </c>
      <c r="E47" s="215" t="s">
        <v>425</v>
      </c>
      <c r="F47" s="181">
        <f>COUNTIF(B2:H16,"*torralba*")</f>
        <v>0</v>
      </c>
      <c r="G47" s="191">
        <v>412.77</v>
      </c>
    </row>
    <row r="48" spans="3:7" ht="14.25" customHeight="1">
      <c r="C48" s="264" t="s">
        <v>237</v>
      </c>
      <c r="D48" s="265"/>
      <c r="E48" s="181" t="s">
        <v>26</v>
      </c>
      <c r="F48" s="181">
        <f>COUNTIF(B2:H16,"*lolo*")</f>
        <v>6</v>
      </c>
      <c r="G48" s="191">
        <v>239.74</v>
      </c>
    </row>
    <row r="49" spans="3:7">
      <c r="C49" s="264" t="s">
        <v>427</v>
      </c>
      <c r="D49" s="265"/>
      <c r="E49" s="215" t="s">
        <v>426</v>
      </c>
      <c r="F49" s="181">
        <v>0</v>
      </c>
      <c r="G49" s="191">
        <v>412.77</v>
      </c>
    </row>
    <row r="50" spans="3:7" ht="15">
      <c r="C50" s="264"/>
      <c r="D50" s="265"/>
      <c r="E50" s="187" t="s">
        <v>266</v>
      </c>
      <c r="F50" s="181">
        <f>COUNTIF(B2:H16,"*matias*")</f>
        <v>3</v>
      </c>
      <c r="G50" s="190">
        <f t="shared" ref="G50:G51" si="2">F50*15</f>
        <v>45</v>
      </c>
    </row>
    <row r="51" spans="3:7" ht="15">
      <c r="C51" s="264"/>
      <c r="D51" s="265"/>
      <c r="E51" s="188" t="s">
        <v>304</v>
      </c>
      <c r="F51" s="181">
        <f>COUNTIF(B2:H16,"*iria*")</f>
        <v>3</v>
      </c>
      <c r="G51" s="190">
        <f t="shared" si="2"/>
        <v>45</v>
      </c>
    </row>
    <row r="52" spans="3:7" ht="15">
      <c r="C52" s="264"/>
      <c r="D52" s="265"/>
      <c r="E52" s="188" t="s">
        <v>345</v>
      </c>
      <c r="F52" s="181">
        <f>COUNTIF(B2:H16,"*manolo*")</f>
        <v>9</v>
      </c>
      <c r="G52" s="191">
        <f>F52*25</f>
        <v>225</v>
      </c>
    </row>
    <row r="53" spans="3:7" ht="15">
      <c r="C53" s="213"/>
      <c r="D53" s="214"/>
      <c r="E53" s="215" t="s">
        <v>441</v>
      </c>
      <c r="F53" s="181"/>
      <c r="G53" s="190"/>
    </row>
    <row r="54" spans="3:7" ht="15">
      <c r="C54" s="213"/>
      <c r="D54" s="214"/>
      <c r="E54" s="215" t="s">
        <v>442</v>
      </c>
      <c r="F54" s="181"/>
      <c r="G54" s="190"/>
    </row>
    <row r="55" spans="3:7" ht="15">
      <c r="C55" s="264"/>
      <c r="D55" s="265"/>
      <c r="E55" s="189" t="s">
        <v>275</v>
      </c>
      <c r="F55" s="181">
        <f>COUNTIF(B2:H16,"*berta*")</f>
        <v>3</v>
      </c>
      <c r="G55" s="190">
        <f>F55*10</f>
        <v>30</v>
      </c>
    </row>
    <row r="56" spans="3:7" ht="15">
      <c r="C56" s="213"/>
      <c r="D56" s="214"/>
      <c r="E56" s="215" t="s">
        <v>443</v>
      </c>
      <c r="F56" s="181"/>
      <c r="G56" s="190">
        <v>90.23</v>
      </c>
    </row>
    <row r="57" spans="3:7">
      <c r="C57" s="264" t="s">
        <v>436</v>
      </c>
      <c r="D57" s="265"/>
      <c r="E57" s="189" t="s">
        <v>356</v>
      </c>
      <c r="F57" s="181">
        <f>COUNTIF(B2:H16,"*ingrid*")</f>
        <v>3</v>
      </c>
      <c r="G57" s="190">
        <f>F57*10</f>
        <v>30</v>
      </c>
    </row>
    <row r="58" spans="3:7" ht="14.25" customHeight="1">
      <c r="C58" s="264" t="s">
        <v>158</v>
      </c>
      <c r="D58" s="268"/>
      <c r="E58" s="215" t="s">
        <v>428</v>
      </c>
      <c r="F58" s="181"/>
      <c r="G58" s="191">
        <v>412.77</v>
      </c>
    </row>
    <row r="59" spans="3:7">
      <c r="C59" s="264" t="s">
        <v>430</v>
      </c>
      <c r="D59" s="269"/>
      <c r="E59" s="215" t="s">
        <v>429</v>
      </c>
      <c r="F59" s="181"/>
      <c r="G59" s="191">
        <v>406.05</v>
      </c>
    </row>
    <row r="60" spans="3:7">
      <c r="C60" s="264" t="s">
        <v>431</v>
      </c>
      <c r="D60" s="269"/>
      <c r="E60" s="215" t="s">
        <v>432</v>
      </c>
      <c r="F60" s="181"/>
      <c r="G60" s="191">
        <v>406.05</v>
      </c>
    </row>
    <row r="61" spans="3:7">
      <c r="C61" s="264" t="s">
        <v>435</v>
      </c>
      <c r="D61" s="269"/>
      <c r="E61" s="215" t="s">
        <v>434</v>
      </c>
      <c r="F61" s="181"/>
      <c r="G61" s="191">
        <v>406.05</v>
      </c>
    </row>
    <row r="62" spans="3:7">
      <c r="C62" s="264" t="s">
        <v>433</v>
      </c>
      <c r="D62" s="265"/>
      <c r="E62" s="205" t="s">
        <v>396</v>
      </c>
      <c r="F62" s="181">
        <f>COUNTIF(B2:H16,"*Nil*")</f>
        <v>4</v>
      </c>
      <c r="G62" s="191">
        <v>361.65</v>
      </c>
    </row>
    <row r="63" spans="3:7">
      <c r="C63" s="190"/>
      <c r="D63" s="202"/>
      <c r="E63" s="183" t="s">
        <v>260</v>
      </c>
      <c r="F63" s="181"/>
      <c r="G63" s="191">
        <v>1867</v>
      </c>
    </row>
    <row r="64" spans="3:7">
      <c r="D64" s="77"/>
      <c r="E64" s="78" t="s">
        <v>28</v>
      </c>
      <c r="F64" s="77">
        <f>SUM(F25:F63)</f>
        <v>161</v>
      </c>
      <c r="G64">
        <f>SUM(G25:G63)</f>
        <v>13603.869999999999</v>
      </c>
    </row>
  </sheetData>
  <mergeCells count="17">
    <mergeCell ref="E17:H18"/>
    <mergeCell ref="C36:D36"/>
    <mergeCell ref="C40:D40"/>
    <mergeCell ref="C41:D41"/>
    <mergeCell ref="C48:D48"/>
    <mergeCell ref="C39:D39"/>
    <mergeCell ref="C49:D49"/>
    <mergeCell ref="C50:D50"/>
    <mergeCell ref="C51:D51"/>
    <mergeCell ref="C52:D52"/>
    <mergeCell ref="C55:D55"/>
    <mergeCell ref="C57:D57"/>
    <mergeCell ref="C62:D62"/>
    <mergeCell ref="C58:D58"/>
    <mergeCell ref="C59:D59"/>
    <mergeCell ref="C60:D60"/>
    <mergeCell ref="C61:D61"/>
  </mergeCells>
  <phoneticPr fontId="78" type="noConversion"/>
  <conditionalFormatting sqref="B17:D17">
    <cfRule type="expression" dxfId="44" priority="1">
      <formula>AND(DAY(B17)&gt;=1,DAY(B17)&lt;=15)</formula>
    </cfRule>
  </conditionalFormatting>
  <conditionalFormatting sqref="B3:G3">
    <cfRule type="expression" dxfId="43" priority="3">
      <formula>DAY(B3)&gt;8</formula>
    </cfRule>
  </conditionalFormatting>
  <conditionalFormatting sqref="B15:H15">
    <cfRule type="expression" dxfId="42" priority="4">
      <formula>AND(DAY(B15)&gt;=1,DAY(B15)&lt;=15)</formula>
    </cfRule>
  </conditionalFormatting>
  <dataValidations count="9">
    <dataValidation allowBlank="1" showInputMessage="1" showErrorMessage="1" prompt="El día de la semana se determinará automáticamente" sqref="C2:H2" xr:uid="{00000000-0002-0000-0500-000000000000}"/>
    <dataValidation allowBlank="1" showErrorMessage="1" prompt="El año de esta celda se actualiza automáticamente según el año especificado en la hoja de cálculo de Enero. El calendario siguiente incluye fechas de los meses anterior y posterior con un sombreado de fuente más claro." sqref="B1" xr:uid="{00000000-0002-0000-0500-000001000000}"/>
    <dataValidation allowBlank="1" showInputMessage="1" showErrorMessage="1" prompt="Esta fila y las filas 5, 7, 9, 11 y 13 contienen días naturales de la semana. Si esta celda no contiene el número 1, se trata de un día del mes anterior. Escriba notas en la celda E13." sqref="B3" xr:uid="{00000000-0002-0000-0500-000002000000}"/>
    <dataValidation allowBlank="1" showInputMessage="1" showErrorMessage="1" prompt="Esta fila contiene los nombres de los días laborables de este calendario. Esta celda contiene el día de inicio de la semana. Para cambiar el día de inicio, escriba un nuevo día laborable en la celda K4 de la hoja de cálculo Enero." sqref="B2" xr:uid="{00000000-0002-0000-0500-000003000000}"/>
    <dataValidation allowBlank="1" showInputMessage="1" showErrorMessage="1" prompt="Calendario del mes de junio" sqref="A1" xr:uid="{00000000-0002-0000-0500-000005000000}"/>
    <dataValidation allowBlank="1" showInputMessage="1" showErrorMessage="1" prompt="Escriba notas en la celda a la derecha." sqref="D17:D18" xr:uid="{00000000-0002-0000-0500-000006000000}"/>
    <dataValidation allowBlank="1" showInputMessage="1" showErrorMessage="1" prompt="Escriba notas en esta celda." sqref="E17:H18" xr:uid="{00000000-0002-0000-0500-000007000000}"/>
    <dataValidation allowBlank="1" showInputMessage="1" showErrorMessage="1" prompt="El año en esta celda se actualiza automáticamente. Seleccione otro año en la celda K3 de la hoja de cálculo Enero para cambiar el año" sqref="C1" xr:uid="{3B5EBA9E-6F2A-4A06-88F5-C22A25660616}"/>
    <dataValidation allowBlank="1" showInputMessage="1" showErrorMessage="1" prompt="Las celdas de esta fila y las filas 6, 8, 10, 12 y 14 son para escribir notas diarias relacionadas con el día natural de la celda anterior." sqref="B5 B8 B11" xr:uid="{F44787B8-730E-4881-91F0-063639EDC81E}"/>
  </dataValidations>
  <printOptions horizontalCentered="1" verticalCentered="1"/>
  <pageMargins left="0.7" right="0.7" top="0.75" bottom="0.75" header="0.3" footer="0.3"/>
  <pageSetup paperSize="9" scale="83" orientation="landscape" r:id="rId1"/>
  <headerFooter differentFirst="1">
    <oddFooter>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7"/>
    <pageSetUpPr fitToPage="1"/>
  </sheetPr>
  <dimension ref="B1:H53"/>
  <sheetViews>
    <sheetView showGridLines="0" topLeftCell="A14" zoomScale="90" zoomScaleNormal="90" workbookViewId="0">
      <selection activeCell="B33" sqref="B33:C33"/>
    </sheetView>
  </sheetViews>
  <sheetFormatPr baseColWidth="10" defaultColWidth="8.88671875" defaultRowHeight="14.25"/>
  <cols>
    <col min="1" max="1" width="2.77734375" customWidth="1"/>
    <col min="2" max="2" width="18.44140625" customWidth="1"/>
    <col min="3" max="8" width="17.77734375" customWidth="1"/>
    <col min="9" max="9" width="2.77734375" customWidth="1"/>
    <col min="10" max="10" width="10.6640625" customWidth="1"/>
  </cols>
  <sheetData>
    <row r="1" spans="2:8" ht="59.25" customHeight="1">
      <c r="B1" s="35" t="str">
        <f>"Julio "&amp;AñoCalendario</f>
        <v>Julio 2026</v>
      </c>
      <c r="C1" s="36"/>
      <c r="D1" s="36"/>
      <c r="E1" s="37"/>
      <c r="F1" s="37"/>
      <c r="G1" s="37"/>
      <c r="H1" s="38"/>
    </row>
    <row r="2" spans="2:8" ht="21.75" customHeight="1">
      <c r="B2" s="5" t="str">
        <f>IF(InicioDeSemana="DOMINGO", "DOMINGO","LUNES")</f>
        <v>LUNES</v>
      </c>
      <c r="C2" s="5" t="str">
        <f t="shared" ref="C2:H2" si="0">UPPER(TEXT(C3,"dddd"))</f>
        <v>MARTES</v>
      </c>
      <c r="D2" s="5" t="str">
        <f t="shared" si="0"/>
        <v>MIÉRCOLES</v>
      </c>
      <c r="E2" s="5" t="str">
        <f t="shared" si="0"/>
        <v>JUEVES</v>
      </c>
      <c r="F2" s="5" t="str">
        <f t="shared" si="0"/>
        <v>VIERNES</v>
      </c>
      <c r="G2" s="5" t="str">
        <f t="shared" si="0"/>
        <v>SÁBADO</v>
      </c>
      <c r="H2" s="5" t="str">
        <f t="shared" si="0"/>
        <v>DOMINGO</v>
      </c>
    </row>
    <row r="3" spans="2:8" ht="19.5" customHeight="1">
      <c r="B3" s="59">
        <f t="array" ref="B3:H3">DaysAndWeeks+DATE(AñoCalendario,7,1)-WEEKDAY(DATE(AñoCalendario,7,1),(InicioDeSemana="LUNES")+1)+1</f>
        <v>46202</v>
      </c>
      <c r="C3" s="59">
        <v>46203</v>
      </c>
      <c r="D3" s="59">
        <v>46204</v>
      </c>
      <c r="E3" s="59">
        <v>46205</v>
      </c>
      <c r="F3" s="59">
        <v>46206</v>
      </c>
      <c r="G3" s="59">
        <v>46207</v>
      </c>
      <c r="H3" s="59">
        <v>46208</v>
      </c>
    </row>
    <row r="4" spans="2:8" ht="57.95" customHeight="1">
      <c r="B4" s="59"/>
      <c r="C4" s="59"/>
      <c r="D4" s="59"/>
      <c r="E4" s="59"/>
      <c r="F4" s="59"/>
      <c r="G4" s="59"/>
      <c r="H4" s="59"/>
    </row>
    <row r="5" spans="2:8" ht="19.5" customHeight="1">
      <c r="B5" s="60">
        <f t="array" ref="B5:H5">DaysAndWeeks+DATE(AñoCalendario,7,1)-WEEKDAY(DATE(AñoCalendario,7,1),(InicioDeSemana="LUNES")+1)+8</f>
        <v>46209</v>
      </c>
      <c r="C5" s="60">
        <v>46210</v>
      </c>
      <c r="D5" s="60">
        <v>46211</v>
      </c>
      <c r="E5" s="60">
        <v>46212</v>
      </c>
      <c r="F5" s="60">
        <v>46213</v>
      </c>
      <c r="G5" s="60">
        <v>46214</v>
      </c>
      <c r="H5" s="60">
        <v>46215</v>
      </c>
    </row>
    <row r="6" spans="2:8" ht="57.95" customHeight="1">
      <c r="B6" s="60"/>
      <c r="C6" s="60"/>
      <c r="D6" s="60"/>
      <c r="E6" s="60"/>
      <c r="F6" s="60"/>
      <c r="G6" s="60"/>
      <c r="H6" s="60"/>
    </row>
    <row r="7" spans="2:8" ht="19.5" customHeight="1">
      <c r="B7" s="59">
        <f t="array" ref="B7:H7">DaysAndWeeks+DATE(AñoCalendario,7,1)-WEEKDAY(DATE(AñoCalendario,7,1),(InicioDeSemana="LUNES")+1)+15</f>
        <v>46216</v>
      </c>
      <c r="C7" s="59">
        <v>46217</v>
      </c>
      <c r="D7" s="59">
        <v>46218</v>
      </c>
      <c r="E7" s="59">
        <v>46219</v>
      </c>
      <c r="F7" s="59">
        <v>46220</v>
      </c>
      <c r="G7" s="59">
        <v>46221</v>
      </c>
      <c r="H7" s="59">
        <v>46222</v>
      </c>
    </row>
    <row r="8" spans="2:8" ht="57.95" customHeight="1">
      <c r="B8" s="59"/>
      <c r="C8" s="59"/>
      <c r="D8" s="59"/>
      <c r="E8" s="59"/>
      <c r="F8" s="59"/>
      <c r="G8" s="59"/>
      <c r="H8" s="59"/>
    </row>
    <row r="9" spans="2:8" ht="19.5" customHeight="1">
      <c r="B9" s="60">
        <f t="array" ref="B9:H9">DaysAndWeeks+DATE(AñoCalendario,7,1)-WEEKDAY(DATE(AñoCalendario,7,1),(InicioDeSemana="LUNES")+1)+22</f>
        <v>46223</v>
      </c>
      <c r="C9" s="60">
        <v>46224</v>
      </c>
      <c r="D9" s="60">
        <v>46225</v>
      </c>
      <c r="E9" s="60">
        <v>46226</v>
      </c>
      <c r="F9" s="60">
        <v>46227</v>
      </c>
      <c r="G9" s="60">
        <v>46228</v>
      </c>
      <c r="H9" s="60">
        <v>46229</v>
      </c>
    </row>
    <row r="10" spans="2:8" ht="57.95" customHeight="1">
      <c r="B10" s="60"/>
      <c r="C10" s="60"/>
      <c r="D10" s="60"/>
      <c r="E10" s="60"/>
      <c r="F10" s="60"/>
      <c r="G10" s="60"/>
      <c r="H10" s="60"/>
    </row>
    <row r="11" spans="2:8" ht="19.5" customHeight="1">
      <c r="B11" s="59">
        <f t="array" ref="B11:H11">DaysAndWeeks+DATE(AñoCalendario,7,1)-WEEKDAY(DATE(AñoCalendario,7,1),(InicioDeSemana="LUNES")+1)+29</f>
        <v>46230</v>
      </c>
      <c r="C11" s="59">
        <v>46231</v>
      </c>
      <c r="D11" s="59">
        <v>46232</v>
      </c>
      <c r="E11" s="59">
        <v>46233</v>
      </c>
      <c r="F11" s="59">
        <v>46234</v>
      </c>
      <c r="G11" s="59">
        <v>46235</v>
      </c>
      <c r="H11" s="59">
        <v>46236</v>
      </c>
    </row>
    <row r="12" spans="2:8" ht="57.95" customHeight="1">
      <c r="B12" s="59"/>
      <c r="C12" s="59"/>
      <c r="D12" s="59"/>
      <c r="E12" s="59"/>
      <c r="F12" s="59"/>
      <c r="G12" s="59"/>
      <c r="H12" s="59"/>
    </row>
    <row r="13" spans="2:8" ht="19.5" customHeight="1">
      <c r="B13" s="60">
        <f t="array" ref="B13:C13">DaysAndWeeks+DATE(AñoCalendario,7,1)-WEEKDAY(DATE(AñoCalendario,7,1),(InicioDeSemana="LUNES")+1)+36</f>
        <v>46237</v>
      </c>
      <c r="C13" s="60">
        <v>46238</v>
      </c>
      <c r="D13" s="63" t="s">
        <v>0</v>
      </c>
      <c r="E13" s="251"/>
      <c r="F13" s="251"/>
      <c r="G13" s="251"/>
      <c r="H13" s="252"/>
    </row>
    <row r="14" spans="2:8" ht="57.95" customHeight="1">
      <c r="B14" s="60"/>
      <c r="C14" s="60"/>
      <c r="D14" s="7"/>
      <c r="E14" s="253"/>
      <c r="F14" s="253"/>
      <c r="G14" s="253"/>
      <c r="H14" s="254"/>
    </row>
    <row r="20" spans="2:6" ht="15">
      <c r="B20" s="192"/>
      <c r="C20" s="193" t="s">
        <v>8</v>
      </c>
      <c r="D20" s="181" t="s">
        <v>9</v>
      </c>
      <c r="E20" s="181"/>
      <c r="F20" s="190">
        <v>0</v>
      </c>
    </row>
    <row r="21" spans="2:6" ht="15">
      <c r="B21" s="192"/>
      <c r="C21" s="194" t="s">
        <v>16</v>
      </c>
      <c r="D21" s="181" t="s">
        <v>17</v>
      </c>
      <c r="E21" s="181"/>
      <c r="F21" s="191">
        <v>1423.63</v>
      </c>
    </row>
    <row r="22" spans="2:6" ht="15">
      <c r="B22" s="192"/>
      <c r="C22" s="195" t="s">
        <v>161</v>
      </c>
      <c r="D22" s="183" t="s">
        <v>204</v>
      </c>
      <c r="E22" s="181"/>
      <c r="F22" s="191">
        <v>1423.63</v>
      </c>
    </row>
    <row r="23" spans="2:6" ht="15">
      <c r="B23" s="192"/>
      <c r="C23" s="195" t="s">
        <v>279</v>
      </c>
      <c r="D23" s="183" t="s">
        <v>246</v>
      </c>
      <c r="E23" s="181"/>
      <c r="F23" s="191">
        <v>1140.69</v>
      </c>
    </row>
    <row r="24" spans="2:6" ht="15">
      <c r="B24" s="192"/>
      <c r="C24" s="195" t="s">
        <v>367</v>
      </c>
      <c r="D24" s="185" t="s">
        <v>289</v>
      </c>
      <c r="E24" s="181"/>
      <c r="F24" s="191">
        <v>780.66</v>
      </c>
    </row>
    <row r="25" spans="2:6" ht="15">
      <c r="B25" s="192"/>
      <c r="C25" s="195" t="s">
        <v>282</v>
      </c>
      <c r="D25" s="183" t="s">
        <v>248</v>
      </c>
      <c r="E25" s="181"/>
      <c r="F25" s="190">
        <v>332.19</v>
      </c>
    </row>
    <row r="26" spans="2:6">
      <c r="B26" s="264" t="s">
        <v>83</v>
      </c>
      <c r="C26" s="265"/>
      <c r="D26" s="215" t="s">
        <v>36</v>
      </c>
      <c r="E26" s="181"/>
      <c r="F26" s="191">
        <v>780.66</v>
      </c>
    </row>
    <row r="27" spans="2:6" ht="15">
      <c r="B27" s="266" t="s">
        <v>423</v>
      </c>
      <c r="C27" s="270"/>
      <c r="D27" s="215" t="s">
        <v>424</v>
      </c>
      <c r="E27" s="181"/>
      <c r="F27" s="191">
        <v>1271.57</v>
      </c>
    </row>
    <row r="28" spans="2:6" ht="15">
      <c r="B28" s="192"/>
      <c r="C28" s="195" t="s">
        <v>168</v>
      </c>
      <c r="D28" s="183" t="s">
        <v>257</v>
      </c>
      <c r="E28" s="181"/>
      <c r="F28" s="191">
        <v>1423.63</v>
      </c>
    </row>
    <row r="29" spans="2:6" ht="15">
      <c r="B29" s="192"/>
      <c r="C29" s="195"/>
      <c r="D29" s="183" t="s">
        <v>258</v>
      </c>
      <c r="E29" s="181"/>
      <c r="F29" s="191">
        <v>1423.63</v>
      </c>
    </row>
    <row r="30" spans="2:6" ht="15">
      <c r="B30" s="192"/>
      <c r="C30" s="195" t="s">
        <v>422</v>
      </c>
      <c r="D30" s="183" t="s">
        <v>259</v>
      </c>
      <c r="E30" s="181"/>
      <c r="F30" s="191">
        <v>1423.63</v>
      </c>
    </row>
    <row r="31" spans="2:6" ht="15">
      <c r="B31" s="192"/>
      <c r="C31" s="195" t="s">
        <v>33</v>
      </c>
      <c r="D31" s="215" t="s">
        <v>425</v>
      </c>
      <c r="E31" s="181"/>
      <c r="F31" s="191">
        <v>1423.63</v>
      </c>
    </row>
    <row r="32" spans="2:6">
      <c r="B32" s="264" t="s">
        <v>237</v>
      </c>
      <c r="C32" s="265"/>
      <c r="D32" s="181" t="s">
        <v>26</v>
      </c>
      <c r="E32" s="181"/>
      <c r="F32" s="191">
        <v>1423.63</v>
      </c>
    </row>
    <row r="33" spans="2:8">
      <c r="B33" s="264" t="s">
        <v>427</v>
      </c>
      <c r="C33" s="265"/>
      <c r="D33" s="215" t="s">
        <v>426</v>
      </c>
      <c r="E33" s="181"/>
      <c r="F33" s="191">
        <v>1423.63</v>
      </c>
    </row>
    <row r="34" spans="2:8" ht="15">
      <c r="B34" s="264"/>
      <c r="C34" s="265"/>
      <c r="D34" s="187" t="s">
        <v>266</v>
      </c>
      <c r="E34" s="181"/>
      <c r="F34" s="191">
        <v>450</v>
      </c>
    </row>
    <row r="35" spans="2:8">
      <c r="B35" s="264" t="s">
        <v>450</v>
      </c>
      <c r="C35" s="265"/>
      <c r="D35" s="215" t="s">
        <v>444</v>
      </c>
      <c r="E35" s="181"/>
      <c r="F35" s="190">
        <v>998.12</v>
      </c>
      <c r="H35">
        <f>F24+F26+F34+F36+F40+F42+F44+F45+F48+F49+F37+F38+F50+F51+F46+F23</f>
        <v>14316.810000000001</v>
      </c>
    </row>
    <row r="36" spans="2:8" ht="15">
      <c r="B36" s="264"/>
      <c r="C36" s="265"/>
      <c r="D36" s="188" t="s">
        <v>345</v>
      </c>
      <c r="E36" s="181"/>
      <c r="F36" s="191">
        <v>950</v>
      </c>
    </row>
    <row r="37" spans="2:8" ht="15">
      <c r="B37" s="213"/>
      <c r="C37" s="214"/>
      <c r="D37" s="215" t="s">
        <v>441</v>
      </c>
      <c r="E37" s="181"/>
      <c r="F37" s="191">
        <v>1600</v>
      </c>
    </row>
    <row r="38" spans="2:8" ht="15">
      <c r="B38" s="213"/>
      <c r="C38" s="214"/>
      <c r="D38" s="215" t="s">
        <v>442</v>
      </c>
      <c r="E38" s="181"/>
      <c r="F38" s="191">
        <v>1500</v>
      </c>
    </row>
    <row r="39" spans="2:8" ht="15">
      <c r="B39" s="213"/>
      <c r="C39" s="214"/>
      <c r="D39" s="215" t="s">
        <v>445</v>
      </c>
      <c r="E39" s="181"/>
      <c r="F39" s="191">
        <v>600</v>
      </c>
    </row>
    <row r="40" spans="2:8" ht="15">
      <c r="B40" s="264"/>
      <c r="C40" s="265"/>
      <c r="D40" s="189" t="s">
        <v>275</v>
      </c>
      <c r="E40" s="181"/>
      <c r="F40" s="191">
        <v>600</v>
      </c>
    </row>
    <row r="41" spans="2:8" ht="15">
      <c r="B41" s="213"/>
      <c r="C41" s="214"/>
      <c r="D41" s="215" t="s">
        <v>443</v>
      </c>
      <c r="E41" s="181"/>
      <c r="F41" s="191">
        <v>1056.98</v>
      </c>
    </row>
    <row r="42" spans="2:8" ht="15">
      <c r="B42" s="213"/>
      <c r="C42" s="214"/>
      <c r="D42" s="216" t="s">
        <v>446</v>
      </c>
      <c r="E42" s="181"/>
      <c r="F42" s="191">
        <v>580</v>
      </c>
    </row>
    <row r="43" spans="2:8">
      <c r="B43" s="264" t="s">
        <v>14</v>
      </c>
      <c r="C43" s="265"/>
      <c r="D43" s="218" t="s">
        <v>449</v>
      </c>
      <c r="E43" s="181"/>
      <c r="F43" s="191">
        <v>565.88</v>
      </c>
    </row>
    <row r="44" spans="2:8" ht="15">
      <c r="B44" s="213"/>
      <c r="C44" s="214"/>
      <c r="D44" s="216" t="s">
        <v>256</v>
      </c>
      <c r="E44" s="181"/>
      <c r="F44" s="191">
        <v>1210</v>
      </c>
    </row>
    <row r="45" spans="2:8">
      <c r="B45" s="264" t="s">
        <v>448</v>
      </c>
      <c r="C45" s="267"/>
      <c r="D45" s="217" t="s">
        <v>447</v>
      </c>
      <c r="E45" s="181"/>
      <c r="F45" s="191">
        <v>577.32000000000005</v>
      </c>
    </row>
    <row r="46" spans="2:8">
      <c r="B46" s="264" t="s">
        <v>436</v>
      </c>
      <c r="C46" s="265"/>
      <c r="D46" s="189" t="s">
        <v>356</v>
      </c>
      <c r="E46" s="181"/>
      <c r="F46" s="191">
        <v>1116</v>
      </c>
    </row>
    <row r="47" spans="2:8" ht="15">
      <c r="B47" s="264" t="s">
        <v>158</v>
      </c>
      <c r="C47" s="268"/>
      <c r="D47" s="215" t="s">
        <v>428</v>
      </c>
      <c r="E47" s="181"/>
      <c r="F47" s="190">
        <v>1423.63</v>
      </c>
    </row>
    <row r="48" spans="2:8">
      <c r="B48" s="264" t="s">
        <v>430</v>
      </c>
      <c r="C48" s="269"/>
      <c r="D48" s="215" t="s">
        <v>429</v>
      </c>
      <c r="E48" s="181"/>
      <c r="F48" s="191">
        <v>496.28</v>
      </c>
    </row>
    <row r="49" spans="2:6">
      <c r="B49" s="264" t="s">
        <v>431</v>
      </c>
      <c r="C49" s="269"/>
      <c r="D49" s="215" t="s">
        <v>432</v>
      </c>
      <c r="E49" s="181"/>
      <c r="F49" s="191">
        <v>424.1</v>
      </c>
    </row>
    <row r="50" spans="2:6">
      <c r="B50" s="264" t="s">
        <v>435</v>
      </c>
      <c r="C50" s="269"/>
      <c r="D50" s="215" t="s">
        <v>434</v>
      </c>
      <c r="E50" s="181"/>
      <c r="F50" s="191">
        <v>1116.5999999999999</v>
      </c>
    </row>
    <row r="51" spans="2:6">
      <c r="B51" s="264" t="s">
        <v>433</v>
      </c>
      <c r="C51" s="265"/>
      <c r="D51" s="205" t="s">
        <v>396</v>
      </c>
      <c r="E51" s="181"/>
      <c r="F51" s="191">
        <v>994.5</v>
      </c>
    </row>
    <row r="52" spans="2:6">
      <c r="B52" s="190"/>
      <c r="C52" s="202"/>
      <c r="D52" s="183" t="s">
        <v>260</v>
      </c>
      <c r="E52" s="181"/>
      <c r="F52" s="190">
        <v>2839</v>
      </c>
    </row>
    <row r="53" spans="2:6">
      <c r="C53" s="77"/>
      <c r="D53" s="78" t="s">
        <v>28</v>
      </c>
      <c r="E53" s="77">
        <f>SUM(E20:E52)</f>
        <v>0</v>
      </c>
      <c r="F53">
        <f>SUM(F20:F52)</f>
        <v>34793.22</v>
      </c>
    </row>
  </sheetData>
  <dataConsolidate/>
  <mergeCells count="17">
    <mergeCell ref="E13:H14"/>
    <mergeCell ref="B26:C26"/>
    <mergeCell ref="B27:C27"/>
    <mergeCell ref="B32:C32"/>
    <mergeCell ref="B33:C33"/>
    <mergeCell ref="B34:C34"/>
    <mergeCell ref="B35:C35"/>
    <mergeCell ref="B36:C36"/>
    <mergeCell ref="B50:C50"/>
    <mergeCell ref="B51:C51"/>
    <mergeCell ref="B40:C40"/>
    <mergeCell ref="B46:C46"/>
    <mergeCell ref="B47:C47"/>
    <mergeCell ref="B48:C48"/>
    <mergeCell ref="B49:C49"/>
    <mergeCell ref="B45:C45"/>
    <mergeCell ref="B43:C43"/>
  </mergeCells>
  <conditionalFormatting sqref="B13:D13">
    <cfRule type="expression" dxfId="41" priority="1">
      <formula>AND(DAY(B13)&gt;=1,DAY(B13)&lt;=15)</formula>
    </cfRule>
  </conditionalFormatting>
  <conditionalFormatting sqref="B3:G3">
    <cfRule type="expression" dxfId="40" priority="3">
      <formula>DAY(B3)&gt;8</formula>
    </cfRule>
  </conditionalFormatting>
  <conditionalFormatting sqref="B11:H11">
    <cfRule type="expression" dxfId="39" priority="4">
      <formula>AND(DAY(B11)&gt;=1,DAY(B11)&lt;=15)</formula>
    </cfRule>
  </conditionalFormatting>
  <dataValidations count="9">
    <dataValidation allowBlank="1" showInputMessage="1" showErrorMessage="1" prompt="El día de la semana se determinará automáticamente" sqref="C2:H2" xr:uid="{00000000-0002-0000-0600-000000000000}"/>
    <dataValidation allowBlank="1" showErrorMessage="1" prompt="El año de esta celda se actualiza automáticamente según el año especificado en la hoja de cálculo de Enero. El calendario siguiente incluye fechas de los meses anterior y posterior con un sombreado de fuente más claro." sqref="B1" xr:uid="{00000000-0002-0000-0600-000001000000}"/>
    <dataValidation allowBlank="1" showInputMessage="1" showErrorMessage="1" prompt="Esta fila y las filas 5, 7, 9, 11 y 13 contienen días naturales de la semana. Si esta celda no contiene el número 1, se trata de un día del mes anterior. Escriba notas en la celda E13." sqref="B3" xr:uid="{00000000-0002-0000-0600-000002000000}"/>
    <dataValidation allowBlank="1" showInputMessage="1" showErrorMessage="1" prompt="Esta fila contiene los nombres de los días laborables de este calendario. Esta celda contiene el día de inicio de la semana. Para cambiar el día de inicio, escriba un nuevo día laborable en la celda K4 de la hoja de cálculo Enero." sqref="B2" xr:uid="{00000000-0002-0000-0600-000003000000}"/>
    <dataValidation allowBlank="1" showInputMessage="1" showErrorMessage="1" prompt="El año en esta celda se actualiza automáticamente. Seleccione otro año en la celda K3 de la hoja de cálculo Enero para cambiar el año" sqref="C1" xr:uid="{00000000-0002-0000-0600-000004000000}"/>
    <dataValidation allowBlank="1" showInputMessage="1" showErrorMessage="1" prompt="Calendario del mes de julio" sqref="A1" xr:uid="{00000000-0002-0000-0600-000005000000}"/>
    <dataValidation allowBlank="1" showInputMessage="1" showErrorMessage="1" prompt="Escriba notas en la celda a la derecha." sqref="D13:D14" xr:uid="{00000000-0002-0000-0600-000006000000}"/>
    <dataValidation allowBlank="1" showInputMessage="1" showErrorMessage="1" prompt="Escriba notas en esta celda." sqref="E13:H14" xr:uid="{00000000-0002-0000-0600-000007000000}"/>
    <dataValidation allowBlank="1" showInputMessage="1" showErrorMessage="1" prompt="Las celdas de esta fila y las filas 6, 8, 10, 12 y 14 son para escribir notas diarias relacionadas con el día natural de la celda anterior." sqref="B4" xr:uid="{00000000-0002-0000-0600-000008000000}"/>
  </dataValidations>
  <printOptions horizontalCentered="1" verticalCentered="1"/>
  <pageMargins left="0.7" right="0.7" top="0.75" bottom="0.75" header="0.3" footer="0.3"/>
  <pageSetup paperSize="9" scale="83" orientation="landscape" r:id="rId1"/>
  <headerFooter differentFirst="1">
    <oddFooter>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theme="8"/>
    <pageSetUpPr fitToPage="1"/>
  </sheetPr>
  <dimension ref="B1:H14"/>
  <sheetViews>
    <sheetView showGridLines="0" topLeftCell="A13" zoomScale="90" zoomScaleNormal="90" workbookViewId="0">
      <selection activeCell="J4" sqref="J4"/>
    </sheetView>
  </sheetViews>
  <sheetFormatPr baseColWidth="10" defaultColWidth="8.88671875" defaultRowHeight="14.25"/>
  <cols>
    <col min="1" max="1" width="2.77734375" customWidth="1"/>
    <col min="2" max="2" width="18.44140625" customWidth="1"/>
    <col min="3" max="8" width="17.77734375" customWidth="1"/>
    <col min="9" max="9" width="2.77734375" customWidth="1"/>
    <col min="10" max="10" width="10.6640625" customWidth="1"/>
  </cols>
  <sheetData>
    <row r="1" spans="2:8" ht="59.25" customHeight="1">
      <c r="B1" s="39" t="str">
        <f>"Agosto "&amp;AñoCalendario</f>
        <v>Agosto 2026</v>
      </c>
      <c r="C1" s="40"/>
      <c r="D1" s="40"/>
      <c r="E1" s="41"/>
      <c r="F1" s="41"/>
      <c r="G1" s="41"/>
      <c r="H1" s="42"/>
    </row>
    <row r="2" spans="2:8" ht="21.75" customHeight="1">
      <c r="B2" s="5" t="str">
        <f>IF(InicioDeSemana="DOMINGO", "DOMINGO","LUNES")</f>
        <v>LUNES</v>
      </c>
      <c r="C2" s="5" t="str">
        <f t="shared" ref="C2:H2" si="0">UPPER(TEXT(C3,"dddd"))</f>
        <v>MARTES</v>
      </c>
      <c r="D2" s="5" t="str">
        <f t="shared" si="0"/>
        <v>MIÉRCOLES</v>
      </c>
      <c r="E2" s="5" t="str">
        <f t="shared" si="0"/>
        <v>JUEVES</v>
      </c>
      <c r="F2" s="5" t="str">
        <f t="shared" si="0"/>
        <v>VIERNES</v>
      </c>
      <c r="G2" s="5" t="str">
        <f t="shared" si="0"/>
        <v>SÁBADO</v>
      </c>
      <c r="H2" s="5" t="str">
        <f t="shared" si="0"/>
        <v>DOMINGO</v>
      </c>
    </row>
    <row r="3" spans="2:8" ht="19.5" customHeight="1">
      <c r="B3" s="59">
        <f t="array" ref="B3:H3">DaysAndWeeks+DATE(AñoCalendario,8,1)-WEEKDAY(DATE(AñoCalendario,8,1),(InicioDeSemana="LUNES")+1)+1</f>
        <v>46230</v>
      </c>
      <c r="C3" s="59">
        <v>46231</v>
      </c>
      <c r="D3" s="59">
        <v>46232</v>
      </c>
      <c r="E3" s="59">
        <v>46233</v>
      </c>
      <c r="F3" s="59">
        <v>46234</v>
      </c>
      <c r="G3" s="59">
        <v>46235</v>
      </c>
      <c r="H3" s="59">
        <v>46236</v>
      </c>
    </row>
    <row r="4" spans="2:8" ht="57.95" customHeight="1">
      <c r="B4" s="59"/>
      <c r="C4" s="59"/>
      <c r="D4" s="59"/>
      <c r="E4" s="59"/>
      <c r="F4" s="59"/>
      <c r="G4" s="59"/>
      <c r="H4" s="59"/>
    </row>
    <row r="5" spans="2:8" ht="19.5" customHeight="1">
      <c r="B5" s="60">
        <f t="array" ref="B5:H5">DaysAndWeeks+DATE(AñoCalendario,8,1)-WEEKDAY(DATE(AñoCalendario,8,1),(InicioDeSemana="LUNES")+1)+8</f>
        <v>46237</v>
      </c>
      <c r="C5" s="60">
        <v>46238</v>
      </c>
      <c r="D5" s="60">
        <v>46239</v>
      </c>
      <c r="E5" s="60">
        <v>46240</v>
      </c>
      <c r="F5" s="60">
        <v>46241</v>
      </c>
      <c r="G5" s="60">
        <v>46242</v>
      </c>
      <c r="H5" s="60">
        <v>46243</v>
      </c>
    </row>
    <row r="6" spans="2:8" ht="57.95" customHeight="1">
      <c r="B6" s="60"/>
      <c r="C6" s="60"/>
      <c r="D6" s="60"/>
      <c r="E6" s="60"/>
      <c r="F6" s="60"/>
      <c r="G6" s="60"/>
      <c r="H6" s="60"/>
    </row>
    <row r="7" spans="2:8" ht="19.5" customHeight="1">
      <c r="B7" s="59">
        <f t="array" ref="B7:H7">DaysAndWeeks+DATE(AñoCalendario,8,1)-WEEKDAY(DATE(AñoCalendario,8,1),(InicioDeSemana="LUNES")+1)+15</f>
        <v>46244</v>
      </c>
      <c r="C7" s="59">
        <v>46245</v>
      </c>
      <c r="D7" s="59">
        <v>46246</v>
      </c>
      <c r="E7" s="59">
        <v>46247</v>
      </c>
      <c r="F7" s="59">
        <v>46248</v>
      </c>
      <c r="G7" s="59">
        <v>46249</v>
      </c>
      <c r="H7" s="59">
        <v>46250</v>
      </c>
    </row>
    <row r="8" spans="2:8" ht="57.95" customHeight="1">
      <c r="B8" s="59"/>
      <c r="C8" s="59"/>
      <c r="D8" s="59"/>
      <c r="E8" s="59"/>
      <c r="F8" s="59"/>
      <c r="G8" s="59"/>
      <c r="H8" s="59"/>
    </row>
    <row r="9" spans="2:8" ht="19.5" customHeight="1">
      <c r="B9" s="60">
        <f t="array" ref="B9:H9">DaysAndWeeks+DATE(AñoCalendario,8,1)-WEEKDAY(DATE(AñoCalendario,8,1),(InicioDeSemana="LUNES")+1)+22</f>
        <v>46251</v>
      </c>
      <c r="C9" s="60">
        <v>46252</v>
      </c>
      <c r="D9" s="60">
        <v>46253</v>
      </c>
      <c r="E9" s="60">
        <v>46254</v>
      </c>
      <c r="F9" s="60">
        <v>46255</v>
      </c>
      <c r="G9" s="60">
        <v>46256</v>
      </c>
      <c r="H9" s="60">
        <v>46257</v>
      </c>
    </row>
    <row r="10" spans="2:8" ht="57.95" customHeight="1">
      <c r="B10" s="60"/>
      <c r="C10" s="60"/>
      <c r="D10" s="60"/>
      <c r="E10" s="60"/>
      <c r="F10" s="60"/>
      <c r="G10" s="60"/>
      <c r="H10" s="60"/>
    </row>
    <row r="11" spans="2:8" ht="19.5" customHeight="1">
      <c r="B11" s="59">
        <f t="array" ref="B11:H11">DaysAndWeeks+DATE(AñoCalendario,8,1)-WEEKDAY(DATE(AñoCalendario,8,1),(InicioDeSemana="LUNES")+1)+29</f>
        <v>46258</v>
      </c>
      <c r="C11" s="59">
        <v>46259</v>
      </c>
      <c r="D11" s="59">
        <v>46260</v>
      </c>
      <c r="E11" s="59">
        <v>46261</v>
      </c>
      <c r="F11" s="59">
        <v>46262</v>
      </c>
      <c r="G11" s="59">
        <v>46263</v>
      </c>
      <c r="H11" s="59">
        <v>46264</v>
      </c>
    </row>
    <row r="12" spans="2:8" ht="57.95" customHeight="1">
      <c r="B12" s="59"/>
      <c r="C12" s="59"/>
      <c r="D12" s="59"/>
      <c r="E12" s="59"/>
      <c r="F12" s="59"/>
      <c r="G12" s="59"/>
      <c r="H12" s="59"/>
    </row>
    <row r="13" spans="2:8" ht="19.5" customHeight="1">
      <c r="B13" s="60">
        <f t="array" ref="B13:C13">DaysAndWeeks+DATE(AñoCalendario,8,1)-WEEKDAY(DATE(AñoCalendario,8,1),(InicioDeSemana="LUNES")+1)+36</f>
        <v>46265</v>
      </c>
      <c r="C13" s="60">
        <v>46266</v>
      </c>
      <c r="D13" s="63" t="s">
        <v>0</v>
      </c>
      <c r="E13" s="251"/>
      <c r="F13" s="251"/>
      <c r="G13" s="251"/>
      <c r="H13" s="252"/>
    </row>
    <row r="14" spans="2:8" ht="57.95" customHeight="1">
      <c r="B14" s="60"/>
      <c r="C14" s="60"/>
      <c r="D14" s="7"/>
      <c r="E14" s="253"/>
      <c r="F14" s="253"/>
      <c r="G14" s="253"/>
      <c r="H14" s="254"/>
    </row>
  </sheetData>
  <mergeCells count="1">
    <mergeCell ref="E13:H14"/>
  </mergeCells>
  <conditionalFormatting sqref="B13:D13">
    <cfRule type="expression" dxfId="38" priority="1">
      <formula>AND(DAY(B13)&gt;=1,DAY(B13)&lt;=15)</formula>
    </cfRule>
  </conditionalFormatting>
  <conditionalFormatting sqref="B3:G3">
    <cfRule type="expression" dxfId="37" priority="3">
      <formula>DAY(B3)&gt;8</formula>
    </cfRule>
  </conditionalFormatting>
  <conditionalFormatting sqref="B11:H11">
    <cfRule type="expression" dxfId="36" priority="4">
      <formula>AND(DAY(B11)&gt;=1,DAY(B11)&lt;=15)</formula>
    </cfRule>
  </conditionalFormatting>
  <dataValidations count="9">
    <dataValidation allowBlank="1" showInputMessage="1" showErrorMessage="1" prompt="El día de la semana se determinará automáticamente" sqref="C2:H2" xr:uid="{00000000-0002-0000-0700-000000000000}"/>
    <dataValidation allowBlank="1" showErrorMessage="1" prompt="El año de esta celda se actualiza automáticamente según el año especificado en la hoja de cálculo de Enero. El calendario siguiente incluye fechas de los meses anterior y posterior con un sombreado de fuente más claro." sqref="B1" xr:uid="{00000000-0002-0000-0700-000001000000}"/>
    <dataValidation allowBlank="1" showInputMessage="1" showErrorMessage="1" prompt="Esta fila y las filas 5, 7, 9, 11 y 13 contienen días naturales de la semana. Si esta celda no contiene el número 1, se trata de un día del mes anterior. Escriba notas en la celda E13." sqref="B3" xr:uid="{00000000-0002-0000-0700-000002000000}"/>
    <dataValidation allowBlank="1" showInputMessage="1" showErrorMessage="1" prompt="Esta fila contiene los nombres de los días laborables de este calendario. Esta celda contiene el día de inicio de la semana. Para cambiar el día de inicio, escriba un nuevo día laborable en la celda K4 de la hoja de cálculo Enero." sqref="B2" xr:uid="{00000000-0002-0000-0700-000003000000}"/>
    <dataValidation allowBlank="1" showInputMessage="1" showErrorMessage="1" prompt="Calendario del mes de agosto" sqref="A1" xr:uid="{00000000-0002-0000-0700-000005000000}"/>
    <dataValidation allowBlank="1" showInputMessage="1" showErrorMessage="1" prompt="Escriba notas en la celda a la derecha." sqref="D13:D14" xr:uid="{00000000-0002-0000-0700-000006000000}"/>
    <dataValidation allowBlank="1" showInputMessage="1" showErrorMessage="1" prompt="Escriba notas en esta celda." sqref="E13:H14" xr:uid="{00000000-0002-0000-0700-000007000000}"/>
    <dataValidation allowBlank="1" showInputMessage="1" showErrorMessage="1" prompt="Las celdas de esta fila y las filas 6, 8, 10, 12 y 14 son para escribir notas diarias relacionadas con el día natural de la celda anterior." sqref="B4" xr:uid="{00000000-0002-0000-0700-000008000000}"/>
    <dataValidation allowBlank="1" showInputMessage="1" showErrorMessage="1" prompt="El año en esta celda se actualiza automáticamente. Seleccione otro año en la celda K3 de la hoja de cálculo Enero para cambiar el año" sqref="C1" xr:uid="{66CA7BBB-AB5C-45C6-8652-E95B2C7872CF}"/>
  </dataValidations>
  <printOptions horizontalCentered="1" verticalCentered="1"/>
  <pageMargins left="0.7" right="0.7" top="0.75" bottom="0.75" header="0.3" footer="0.3"/>
  <pageSetup paperSize="9" scale="83" orientation="landscape" r:id="rId1"/>
  <headerFooter differentFirst="1">
    <oddFooter>Page &amp;P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theme="8" tint="-0.249977111117893"/>
    <pageSetUpPr fitToPage="1"/>
  </sheetPr>
  <dimension ref="B1:H55"/>
  <sheetViews>
    <sheetView showGridLines="0" topLeftCell="A13" zoomScale="90" zoomScaleNormal="90" workbookViewId="0">
      <selection activeCell="F46" sqref="F46"/>
    </sheetView>
  </sheetViews>
  <sheetFormatPr baseColWidth="10" defaultColWidth="8.88671875" defaultRowHeight="14.25"/>
  <cols>
    <col min="1" max="1" width="2.77734375" customWidth="1"/>
    <col min="2" max="2" width="18.44140625" customWidth="1"/>
    <col min="3" max="3" width="20.5546875" customWidth="1"/>
    <col min="4" max="8" width="17.77734375" customWidth="1"/>
    <col min="9" max="9" width="2.77734375" customWidth="1"/>
    <col min="10" max="10" width="10.6640625" customWidth="1"/>
  </cols>
  <sheetData>
    <row r="1" spans="2:8" ht="59.25" customHeight="1">
      <c r="B1" s="43" t="str">
        <f>"Septiembre "&amp;AñoCalendario</f>
        <v>Septiembre 2026</v>
      </c>
      <c r="C1" s="44"/>
      <c r="D1" s="44"/>
      <c r="E1" s="45"/>
      <c r="F1" s="45"/>
      <c r="G1" s="45"/>
      <c r="H1" s="46"/>
    </row>
    <row r="2" spans="2:8" ht="21.75" customHeight="1">
      <c r="B2" s="5" t="str">
        <f>IF(InicioDeSemana="DOMINGO", "DOMINGO","LUNES")</f>
        <v>LUNES</v>
      </c>
      <c r="C2" s="5" t="str">
        <f t="shared" ref="C2:H2" si="0">UPPER(TEXT(C3,"dddd"))</f>
        <v>MARTES</v>
      </c>
      <c r="D2" s="5" t="str">
        <f t="shared" si="0"/>
        <v>MIÉRCOLES</v>
      </c>
      <c r="E2" s="5" t="str">
        <f t="shared" si="0"/>
        <v>JUEVES</v>
      </c>
      <c r="F2" s="5" t="str">
        <f t="shared" si="0"/>
        <v>VIERNES</v>
      </c>
      <c r="G2" s="5" t="str">
        <f t="shared" si="0"/>
        <v>SÁBADO</v>
      </c>
      <c r="H2" s="5" t="str">
        <f t="shared" si="0"/>
        <v>DOMINGO</v>
      </c>
    </row>
    <row r="3" spans="2:8" ht="19.5" customHeight="1">
      <c r="B3" s="59">
        <f t="array" ref="B3:H3">DaysAndWeeks+DATE(AñoCalendario,9,1)-WEEKDAY(DATE(AñoCalendario,9,1),(InicioDeSemana="LUNES")+1)+1</f>
        <v>46265</v>
      </c>
      <c r="C3" s="59">
        <v>46266</v>
      </c>
      <c r="D3" s="59">
        <v>46267</v>
      </c>
      <c r="E3" s="59">
        <v>46268</v>
      </c>
      <c r="F3" s="59">
        <v>46269</v>
      </c>
      <c r="G3" s="59">
        <v>46270</v>
      </c>
      <c r="H3" s="59">
        <v>46271</v>
      </c>
    </row>
    <row r="4" spans="2:8" ht="57.95" customHeight="1">
      <c r="B4" s="65"/>
      <c r="C4" s="65"/>
      <c r="D4" s="65"/>
      <c r="E4" s="65"/>
      <c r="F4" s="65"/>
      <c r="G4" s="65"/>
      <c r="H4" s="65"/>
    </row>
    <row r="5" spans="2:8" ht="57.95" customHeight="1">
      <c r="B5" s="145"/>
      <c r="C5" s="145"/>
      <c r="D5" s="145"/>
      <c r="E5" s="145"/>
      <c r="F5" s="145"/>
      <c r="G5" s="65"/>
      <c r="H5" s="65"/>
    </row>
    <row r="6" spans="2:8" ht="19.5" customHeight="1">
      <c r="B6" s="64">
        <f t="array" ref="B6:H6">DaysAndWeeks+DATE(AñoCalendario,9,1)-WEEKDAY(DATE(AñoCalendario,9,1),(InicioDeSemana="LUNES")+1)+8</f>
        <v>46272</v>
      </c>
      <c r="C6" s="64">
        <v>46273</v>
      </c>
      <c r="D6" s="64">
        <v>46274</v>
      </c>
      <c r="E6" s="64">
        <v>46275</v>
      </c>
      <c r="F6" s="64">
        <v>46276</v>
      </c>
      <c r="G6" s="147">
        <v>46277</v>
      </c>
      <c r="H6" s="147">
        <v>46278</v>
      </c>
    </row>
    <row r="7" spans="2:8" ht="57.95" customHeight="1">
      <c r="B7" s="64"/>
      <c r="C7" s="64"/>
      <c r="D7" s="64"/>
      <c r="E7" s="64" t="s">
        <v>457</v>
      </c>
      <c r="F7" s="64"/>
      <c r="G7" s="147" t="s">
        <v>466</v>
      </c>
      <c r="H7" s="147"/>
    </row>
    <row r="8" spans="2:8" ht="57.95" customHeight="1">
      <c r="B8" s="146"/>
      <c r="C8" s="146"/>
      <c r="D8" s="146"/>
      <c r="E8" s="146"/>
      <c r="F8" s="146"/>
      <c r="G8" s="147"/>
      <c r="H8" s="147"/>
    </row>
    <row r="9" spans="2:8" ht="19.5" customHeight="1">
      <c r="B9" s="65">
        <f t="array" ref="B9:H9">DaysAndWeeks+DATE(AñoCalendario,9,1)-WEEKDAY(DATE(AñoCalendario,9,1),(InicioDeSemana="LUNES")+1)+15</f>
        <v>46279</v>
      </c>
      <c r="C9" s="65">
        <v>46280</v>
      </c>
      <c r="D9" s="65">
        <v>46281</v>
      </c>
      <c r="E9" s="65">
        <v>46282</v>
      </c>
      <c r="F9" s="65">
        <v>46283</v>
      </c>
      <c r="G9" s="65">
        <v>46284</v>
      </c>
      <c r="H9" s="65">
        <v>46285</v>
      </c>
    </row>
    <row r="10" spans="2:8" ht="57.95" customHeight="1">
      <c r="B10" s="65" t="s">
        <v>464</v>
      </c>
      <c r="C10" s="65" t="s">
        <v>456</v>
      </c>
      <c r="D10" s="65" t="s">
        <v>472</v>
      </c>
      <c r="E10" s="147" t="s">
        <v>461</v>
      </c>
      <c r="F10" s="65" t="s">
        <v>241</v>
      </c>
      <c r="G10" s="65" t="s">
        <v>465</v>
      </c>
      <c r="H10" s="65"/>
    </row>
    <row r="11" spans="2:8" ht="57.95" customHeight="1">
      <c r="B11" s="145" t="s">
        <v>286</v>
      </c>
      <c r="C11" s="145" t="s">
        <v>17</v>
      </c>
      <c r="D11" s="145" t="s">
        <v>369</v>
      </c>
      <c r="E11" s="145"/>
      <c r="F11" s="145" t="s">
        <v>17</v>
      </c>
      <c r="G11" s="65"/>
      <c r="H11" s="65"/>
    </row>
    <row r="12" spans="2:8" ht="19.5" customHeight="1">
      <c r="B12" s="64">
        <f t="array" ref="B12:H12">DaysAndWeeks+DATE(AñoCalendario,9,1)-WEEKDAY(DATE(AñoCalendario,9,1),(InicioDeSemana="LUNES")+1)+22</f>
        <v>46286</v>
      </c>
      <c r="C12" s="64">
        <v>46287</v>
      </c>
      <c r="D12" s="64">
        <v>46288</v>
      </c>
      <c r="E12" s="64">
        <v>46289</v>
      </c>
      <c r="F12" s="64">
        <v>46290</v>
      </c>
      <c r="G12" s="147">
        <v>46291</v>
      </c>
      <c r="H12" s="147">
        <v>46292</v>
      </c>
    </row>
    <row r="13" spans="2:8" ht="57.95" customHeight="1">
      <c r="B13" s="65" t="s">
        <v>462</v>
      </c>
      <c r="C13" s="65" t="s">
        <v>456</v>
      </c>
      <c r="D13" s="65" t="s">
        <v>469</v>
      </c>
      <c r="E13" s="147" t="s">
        <v>459</v>
      </c>
      <c r="F13" s="65" t="s">
        <v>473</v>
      </c>
      <c r="G13" s="147"/>
      <c r="H13" s="147"/>
    </row>
    <row r="14" spans="2:8" ht="57.95" customHeight="1">
      <c r="B14" s="145" t="s">
        <v>286</v>
      </c>
      <c r="C14" s="145" t="s">
        <v>17</v>
      </c>
      <c r="D14" s="145" t="s">
        <v>369</v>
      </c>
      <c r="E14" s="145"/>
      <c r="F14" s="145" t="s">
        <v>17</v>
      </c>
      <c r="G14" s="147"/>
      <c r="H14" s="147"/>
    </row>
    <row r="15" spans="2:8" ht="19.5" customHeight="1">
      <c r="B15" s="65">
        <f t="array" ref="B15:H15">DaysAndWeeks+DATE(AñoCalendario,9,1)-WEEKDAY(DATE(AñoCalendario,9,1),(InicioDeSemana="LUNES")+1)+29</f>
        <v>46293</v>
      </c>
      <c r="C15" s="65">
        <v>46294</v>
      </c>
      <c r="D15" s="65">
        <v>46295</v>
      </c>
      <c r="E15" s="65">
        <v>46296</v>
      </c>
      <c r="F15" s="65">
        <v>46297</v>
      </c>
      <c r="G15" s="65">
        <v>46298</v>
      </c>
      <c r="H15" s="65">
        <v>46299</v>
      </c>
    </row>
    <row r="16" spans="2:8" ht="57.95" customHeight="1">
      <c r="B16" s="65" t="s">
        <v>475</v>
      </c>
      <c r="C16" s="65" t="s">
        <v>463</v>
      </c>
      <c r="D16" s="65" t="s">
        <v>471</v>
      </c>
      <c r="G16" s="65"/>
      <c r="H16" s="65"/>
    </row>
    <row r="17" spans="2:8">
      <c r="B17" s="145" t="s">
        <v>470</v>
      </c>
      <c r="C17" s="145"/>
      <c r="D17" s="145" t="s">
        <v>396</v>
      </c>
    </row>
    <row r="23" spans="2:8" ht="18">
      <c r="B23" s="70"/>
      <c r="C23" s="70"/>
      <c r="D23" s="70"/>
      <c r="E23" s="70"/>
      <c r="F23" s="70"/>
    </row>
    <row r="24" spans="2:8" ht="18">
      <c r="B24" s="70"/>
      <c r="C24" s="71"/>
      <c r="D24" s="72"/>
      <c r="E24" s="72"/>
      <c r="F24" s="70"/>
    </row>
    <row r="25" spans="2:8" ht="18">
      <c r="B25" s="70"/>
      <c r="C25" s="71"/>
      <c r="D25" s="72"/>
      <c r="E25" s="72"/>
      <c r="F25" s="70"/>
    </row>
    <row r="26" spans="2:8" ht="18">
      <c r="B26" s="70"/>
      <c r="H26" t="s">
        <v>32</v>
      </c>
    </row>
    <row r="27" spans="2:8" ht="18" customHeight="1">
      <c r="B27" s="70"/>
      <c r="C27" s="66"/>
      <c r="D27" s="181" t="s">
        <v>6</v>
      </c>
      <c r="E27" s="221" t="s">
        <v>451</v>
      </c>
      <c r="F27" s="190"/>
      <c r="G27" s="190"/>
      <c r="H27" s="190"/>
    </row>
    <row r="28" spans="2:8" ht="15">
      <c r="B28" s="243" t="s">
        <v>18</v>
      </c>
      <c r="C28" s="244"/>
      <c r="D28" s="231" t="s">
        <v>396</v>
      </c>
      <c r="E28" s="207">
        <f>COUNTIF(B4:H18,"*Nil*")</f>
        <v>6</v>
      </c>
      <c r="F28" s="191">
        <f>E28*25</f>
        <v>150</v>
      </c>
      <c r="G28" s="232" t="s">
        <v>474</v>
      </c>
      <c r="H28" s="190"/>
    </row>
    <row r="29" spans="2:8" ht="15">
      <c r="B29" s="239" t="s">
        <v>367</v>
      </c>
      <c r="C29" s="240"/>
      <c r="D29" s="221" t="s">
        <v>289</v>
      </c>
      <c r="E29" s="181">
        <f>COUNTIF(B4:H21,"*Xavi*")</f>
        <v>6</v>
      </c>
      <c r="F29" s="190">
        <f>E29*25</f>
        <v>150</v>
      </c>
      <c r="G29" s="190"/>
      <c r="H29" s="190"/>
    </row>
    <row r="30" spans="2:8" ht="15">
      <c r="B30" s="241" t="s">
        <v>16</v>
      </c>
      <c r="C30" s="242"/>
      <c r="D30" s="181" t="s">
        <v>17</v>
      </c>
      <c r="E30" s="181">
        <f>COUNTIF(B4:H20,"*mario*")</f>
        <v>14</v>
      </c>
      <c r="F30" s="190"/>
      <c r="G30" s="190"/>
      <c r="H30" s="190"/>
    </row>
    <row r="31" spans="2:8" ht="18" customHeight="1">
      <c r="B31" s="233" t="s">
        <v>427</v>
      </c>
      <c r="C31" s="234"/>
      <c r="D31" s="221" t="s">
        <v>19</v>
      </c>
      <c r="E31" s="181">
        <f>COUNTIF(B3:H18,"*Hector*")</f>
        <v>7</v>
      </c>
      <c r="F31" s="190">
        <f>E31*25</f>
        <v>175</v>
      </c>
      <c r="G31" s="190"/>
      <c r="H31" s="190"/>
    </row>
    <row r="32" spans="2:8" ht="15">
      <c r="B32" s="247" t="s">
        <v>302</v>
      </c>
      <c r="C32" s="248"/>
      <c r="D32" s="183" t="s">
        <v>244</v>
      </c>
      <c r="E32" s="181">
        <f>COUNTIF(B2:H18,"*richard*")</f>
        <v>1</v>
      </c>
      <c r="F32" s="190">
        <f>E32*25</f>
        <v>25</v>
      </c>
      <c r="G32" s="190"/>
      <c r="H32" s="190"/>
    </row>
    <row r="33" spans="2:8" ht="15">
      <c r="B33" s="239" t="s">
        <v>161</v>
      </c>
      <c r="C33" s="240"/>
      <c r="D33" s="183" t="s">
        <v>204</v>
      </c>
      <c r="E33" s="181">
        <f>COUNTIF(B2:H18,"*Mary*")</f>
        <v>7</v>
      </c>
      <c r="F33" s="190">
        <f t="shared" ref="F33:F43" si="1">E33*25</f>
        <v>175</v>
      </c>
      <c r="G33" s="190"/>
      <c r="H33" s="190"/>
    </row>
    <row r="34" spans="2:8" ht="15">
      <c r="B34" s="235" t="s">
        <v>18</v>
      </c>
      <c r="C34" s="236"/>
      <c r="D34" s="221" t="s">
        <v>454</v>
      </c>
      <c r="E34" s="181">
        <f>COUNTIF(B2:H18,"*Mati*")</f>
        <v>3</v>
      </c>
      <c r="F34" s="190">
        <f t="shared" si="1"/>
        <v>75</v>
      </c>
      <c r="G34" s="190"/>
      <c r="H34" s="190"/>
    </row>
    <row r="35" spans="2:8" ht="18" customHeight="1">
      <c r="B35" s="245" t="s">
        <v>279</v>
      </c>
      <c r="C35" s="246"/>
      <c r="D35" s="183" t="s">
        <v>246</v>
      </c>
      <c r="E35" s="181">
        <f>COUNTIF(B2:H18,"*Jota*")</f>
        <v>1</v>
      </c>
      <c r="F35" s="190">
        <f t="shared" si="1"/>
        <v>25</v>
      </c>
      <c r="G35" s="190"/>
      <c r="H35" s="190"/>
    </row>
    <row r="36" spans="2:8" ht="15">
      <c r="B36" s="237" t="s">
        <v>18</v>
      </c>
      <c r="C36" s="238"/>
      <c r="D36" s="221" t="s">
        <v>345</v>
      </c>
      <c r="E36" s="181">
        <f>COUNTIF(B2:H18,"*Manolo*")</f>
        <v>7</v>
      </c>
      <c r="F36" s="190">
        <f t="shared" si="1"/>
        <v>175</v>
      </c>
      <c r="G36" s="190"/>
      <c r="H36" s="190"/>
    </row>
    <row r="37" spans="2:8" ht="18" customHeight="1">
      <c r="B37" s="249" t="s">
        <v>282</v>
      </c>
      <c r="C37" s="250"/>
      <c r="D37" s="183" t="s">
        <v>248</v>
      </c>
      <c r="E37" s="181">
        <f>COUNTIF(B2:H18,"*Montse*")</f>
        <v>11</v>
      </c>
      <c r="F37" s="190">
        <f t="shared" si="1"/>
        <v>275</v>
      </c>
      <c r="G37" s="190"/>
      <c r="H37" s="190"/>
    </row>
    <row r="38" spans="2:8" ht="18" customHeight="1">
      <c r="B38" s="233" t="s">
        <v>83</v>
      </c>
      <c r="C38" s="234"/>
      <c r="D38" s="183" t="s">
        <v>255</v>
      </c>
      <c r="E38" s="181">
        <f>COUNTIF(B2:H18,"*Raúl*")</f>
        <v>9</v>
      </c>
      <c r="F38" s="190">
        <f t="shared" si="1"/>
        <v>225</v>
      </c>
      <c r="G38" s="190"/>
      <c r="H38" s="190"/>
    </row>
    <row r="39" spans="2:8" ht="15">
      <c r="B39" s="235"/>
      <c r="C39" s="236"/>
      <c r="D39" s="221" t="s">
        <v>453</v>
      </c>
      <c r="E39" s="181">
        <f>COUNTIF(B2:H18,"*Jesús*")</f>
        <v>0</v>
      </c>
      <c r="F39" s="190">
        <f t="shared" si="1"/>
        <v>0</v>
      </c>
      <c r="G39" s="190"/>
      <c r="H39" s="190"/>
    </row>
    <row r="40" spans="2:8" ht="14.25" customHeight="1">
      <c r="B40" s="245"/>
      <c r="C40" s="246"/>
      <c r="D40" s="221" t="s">
        <v>452</v>
      </c>
      <c r="E40" s="181">
        <f>COUNTIF(B2:H18,"*LauraM*")</f>
        <v>1</v>
      </c>
      <c r="F40" s="190">
        <f t="shared" si="1"/>
        <v>25</v>
      </c>
      <c r="G40" s="190"/>
      <c r="H40" s="190"/>
    </row>
    <row r="41" spans="2:8" ht="14.25" customHeight="1">
      <c r="B41" s="233" t="s">
        <v>95</v>
      </c>
      <c r="C41" s="234"/>
      <c r="D41" s="183" t="s">
        <v>90</v>
      </c>
      <c r="E41" s="181">
        <f>COUNTIF(B2:H18,"*Nuria*")</f>
        <v>2</v>
      </c>
      <c r="F41" s="190">
        <f t="shared" si="1"/>
        <v>50</v>
      </c>
      <c r="G41" s="190"/>
      <c r="H41" s="190"/>
    </row>
    <row r="42" spans="2:8" ht="15">
      <c r="B42" s="237" t="s">
        <v>18</v>
      </c>
      <c r="C42" s="238"/>
      <c r="D42" s="183" t="s">
        <v>256</v>
      </c>
      <c r="E42" s="181">
        <f>COUNTIF(B2:H18,"*Alex*")</f>
        <v>2</v>
      </c>
      <c r="F42" s="190">
        <f t="shared" si="1"/>
        <v>50</v>
      </c>
      <c r="G42" s="190"/>
      <c r="H42" s="190"/>
    </row>
    <row r="43" spans="2:8" ht="15">
      <c r="B43" s="239" t="s">
        <v>168</v>
      </c>
      <c r="C43" s="240"/>
      <c r="D43" s="183" t="s">
        <v>257</v>
      </c>
      <c r="E43" s="181">
        <f>COUNTIF(B2:H18,"*Isa*")</f>
        <v>1</v>
      </c>
      <c r="F43" s="190">
        <f t="shared" si="1"/>
        <v>25</v>
      </c>
      <c r="G43" s="190"/>
      <c r="H43" s="190"/>
    </row>
    <row r="44" spans="2:8" ht="15">
      <c r="B44" s="245"/>
      <c r="C44" s="246"/>
      <c r="D44" s="183" t="s">
        <v>258</v>
      </c>
      <c r="E44" s="181">
        <f>COUNTIF(B2:H18,"*Eric*")</f>
        <v>0</v>
      </c>
      <c r="F44" s="190"/>
      <c r="G44" s="190"/>
      <c r="H44" s="190"/>
    </row>
    <row r="45" spans="2:8" ht="15">
      <c r="B45" s="235" t="s">
        <v>422</v>
      </c>
      <c r="C45" s="236"/>
      <c r="D45" s="183" t="s">
        <v>259</v>
      </c>
      <c r="E45" s="181">
        <f>COUNTIF(B2:H18,"*Shamil*")</f>
        <v>0</v>
      </c>
      <c r="F45" s="190"/>
      <c r="G45" s="190"/>
      <c r="H45" s="190"/>
    </row>
    <row r="46" spans="2:8" ht="15">
      <c r="B46" s="239" t="s">
        <v>278</v>
      </c>
      <c r="C46" s="240"/>
      <c r="D46" s="183" t="s">
        <v>242</v>
      </c>
      <c r="E46" s="181">
        <f>COUNTIF(B2:H18,"*Salva*")</f>
        <v>8</v>
      </c>
      <c r="F46" s="190">
        <f>E46*25</f>
        <v>200</v>
      </c>
      <c r="G46" s="190"/>
      <c r="H46" s="190"/>
    </row>
    <row r="47" spans="2:8" ht="15">
      <c r="B47" s="235"/>
      <c r="C47" s="236"/>
      <c r="D47" s="221" t="s">
        <v>458</v>
      </c>
      <c r="E47" s="181">
        <f>COUNTIF(B2:H18,"*Pau*")</f>
        <v>2</v>
      </c>
      <c r="F47" s="190">
        <f>E47*25</f>
        <v>50</v>
      </c>
      <c r="G47" s="190"/>
      <c r="H47" s="190"/>
    </row>
    <row r="48" spans="2:8" ht="15">
      <c r="B48" s="235"/>
      <c r="C48" s="236"/>
      <c r="D48" s="230" t="s">
        <v>467</v>
      </c>
      <c r="E48" s="181">
        <f>COUNTIF(B2:H18,"*Ambre*")</f>
        <v>0</v>
      </c>
      <c r="F48" s="190">
        <f>E48*25</f>
        <v>0</v>
      </c>
      <c r="G48" s="190"/>
      <c r="H48" s="190"/>
    </row>
    <row r="49" spans="2:8" ht="15">
      <c r="B49" s="228"/>
      <c r="C49" s="229"/>
      <c r="D49" s="230" t="s">
        <v>468</v>
      </c>
      <c r="E49" s="181">
        <f>COUNTIF(B2:H18,"*Leyre*")</f>
        <v>1</v>
      </c>
      <c r="F49" s="190">
        <f>E49*15</f>
        <v>15</v>
      </c>
      <c r="G49" s="190"/>
      <c r="H49" s="190"/>
    </row>
    <row r="50" spans="2:8" ht="15">
      <c r="B50" s="241" t="s">
        <v>18</v>
      </c>
      <c r="C50" s="242"/>
      <c r="D50" s="221" t="s">
        <v>275</v>
      </c>
      <c r="E50" s="181">
        <f>COUNTIF(B2:H18,"*Berta*")</f>
        <v>0</v>
      </c>
      <c r="F50" s="190">
        <f t="shared" ref="F50:F52" si="2">E50*10</f>
        <v>0</v>
      </c>
      <c r="G50" s="190"/>
      <c r="H50" s="190"/>
    </row>
    <row r="51" spans="2:8" ht="15">
      <c r="B51" s="241" t="s">
        <v>18</v>
      </c>
      <c r="C51" s="242"/>
      <c r="D51" s="221" t="s">
        <v>304</v>
      </c>
      <c r="E51" s="181">
        <f>COUNTIF(B2:H18,"*Iria*")</f>
        <v>3</v>
      </c>
      <c r="F51" s="190">
        <f t="shared" si="2"/>
        <v>30</v>
      </c>
      <c r="G51" s="190"/>
      <c r="H51" s="190"/>
    </row>
    <row r="52" spans="2:8" ht="14.25" customHeight="1">
      <c r="B52" s="237" t="s">
        <v>18</v>
      </c>
      <c r="C52" s="238"/>
      <c r="D52" s="221" t="s">
        <v>455</v>
      </c>
      <c r="E52" s="181">
        <f>COUNTIF(B2:H18,"*Naiara*")</f>
        <v>4</v>
      </c>
      <c r="F52" s="190">
        <f t="shared" si="2"/>
        <v>40</v>
      </c>
      <c r="G52" s="190"/>
      <c r="H52" s="190"/>
    </row>
    <row r="53" spans="2:8" ht="14.25" customHeight="1">
      <c r="B53" s="233" t="s">
        <v>237</v>
      </c>
      <c r="C53" s="234"/>
      <c r="D53" s="181" t="s">
        <v>26</v>
      </c>
      <c r="E53" s="181">
        <f>COUNTIF(B3:H19,"*Lolo*")</f>
        <v>0</v>
      </c>
      <c r="F53" s="190">
        <f>E53*25</f>
        <v>0</v>
      </c>
      <c r="G53" s="190"/>
      <c r="H53" s="190"/>
    </row>
    <row r="54" spans="2:8">
      <c r="C54" s="202"/>
      <c r="D54" s="183" t="s">
        <v>260</v>
      </c>
      <c r="E54" s="181"/>
      <c r="F54" s="190"/>
      <c r="G54" s="190"/>
      <c r="H54" s="190"/>
    </row>
    <row r="55" spans="2:8">
      <c r="C55" s="219"/>
      <c r="D55" s="220" t="s">
        <v>28</v>
      </c>
      <c r="E55" s="219">
        <f>SUM(E28:E53)</f>
        <v>96</v>
      </c>
      <c r="F55" s="190">
        <f>SUM(F28:F53)</f>
        <v>1935</v>
      </c>
      <c r="G55" s="190"/>
      <c r="H55" s="190"/>
    </row>
  </sheetData>
  <mergeCells count="25">
    <mergeCell ref="B53:C53"/>
    <mergeCell ref="B28:C28"/>
    <mergeCell ref="B29:C29"/>
    <mergeCell ref="B44:C44"/>
    <mergeCell ref="B32:C32"/>
    <mergeCell ref="B33:C33"/>
    <mergeCell ref="B30:C30"/>
    <mergeCell ref="B34:C34"/>
    <mergeCell ref="B36:C36"/>
    <mergeCell ref="B37:C37"/>
    <mergeCell ref="B39:C39"/>
    <mergeCell ref="B40:C40"/>
    <mergeCell ref="B43:C43"/>
    <mergeCell ref="B31:C31"/>
    <mergeCell ref="B35:C35"/>
    <mergeCell ref="B38:C38"/>
    <mergeCell ref="B41:C41"/>
    <mergeCell ref="B45:C45"/>
    <mergeCell ref="B52:C52"/>
    <mergeCell ref="B42:C42"/>
    <mergeCell ref="B46:C46"/>
    <mergeCell ref="B47:C47"/>
    <mergeCell ref="B50:C50"/>
    <mergeCell ref="B51:C51"/>
    <mergeCell ref="B48:C48"/>
  </mergeCells>
  <conditionalFormatting sqref="B3:G3">
    <cfRule type="expression" dxfId="35" priority="3">
      <formula>DAY(B3)&gt;8</formula>
    </cfRule>
  </conditionalFormatting>
  <conditionalFormatting sqref="B15:H15">
    <cfRule type="expression" dxfId="34" priority="4">
      <formula>AND(DAY(B15)&gt;=1,DAY(B15)&lt;=15)</formula>
    </cfRule>
  </conditionalFormatting>
  <dataValidations disablePrompts="1" count="7">
    <dataValidation allowBlank="1" showInputMessage="1" showErrorMessage="1" prompt="El día de la semana se determinará automáticamente" sqref="C2:H2" xr:uid="{00000000-0002-0000-0800-000000000000}"/>
    <dataValidation allowBlank="1" showErrorMessage="1" prompt="El año de esta celda se actualiza automáticamente según el año especificado en la hoja de cálculo de Enero. El calendario siguiente incluye fechas de los meses anterior y posterior con un sombreado de fuente más claro." sqref="B1" xr:uid="{00000000-0002-0000-0800-000001000000}"/>
    <dataValidation allowBlank="1" showInputMessage="1" showErrorMessage="1" prompt="Esta fila y las filas 5, 7, 9, 11 y 13 contienen días naturales de la semana. Si esta celda no contiene el número 1, se trata de un día del mes anterior. Escriba notas en la celda E13." sqref="B3" xr:uid="{00000000-0002-0000-0800-000002000000}"/>
    <dataValidation allowBlank="1" showInputMessage="1" showErrorMessage="1" prompt="Esta fila contiene los nombres de los días laborables de este calendario. Esta celda contiene el día de inicio de la semana. Para cambiar el día de inicio, escriba un nuevo día laborable en la celda K4 de la hoja de cálculo Enero." sqref="B2" xr:uid="{00000000-0002-0000-0800-000003000000}"/>
    <dataValidation allowBlank="1" showInputMessage="1" showErrorMessage="1" prompt="Calendario del mes de septiembre" sqref="A1" xr:uid="{00000000-0002-0000-0800-000005000000}"/>
    <dataValidation allowBlank="1" showInputMessage="1" showErrorMessage="1" prompt="Las celdas de esta fila y las filas 6, 8, 10, 12 y 14 son para escribir notas diarias relacionadas con el día natural de la celda anterior." sqref="B4:B5" xr:uid="{00000000-0002-0000-0800-000008000000}"/>
    <dataValidation allowBlank="1" showInputMessage="1" showErrorMessage="1" prompt="El año en esta celda se actualiza automáticamente. Seleccione otro año en la celda K3 de la hoja de cálculo Enero para cambiar el año" sqref="C1" xr:uid="{4435369A-E4BA-4CCE-AFA8-841FBD5E4294}"/>
  </dataValidations>
  <printOptions horizontalCentered="1" verticalCentered="1"/>
  <pageMargins left="0.7" right="0.7" top="0.75" bottom="0.75" header="0.3" footer="0.3"/>
  <pageSetup paperSize="9" scale="55" fitToHeight="0" orientation="portrait" r:id="rId1"/>
  <headerFooter differentFirst="1">
    <oddFooter>Page &amp;P of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theme="9" tint="-0.249977111117893"/>
    <pageSetUpPr fitToPage="1"/>
  </sheetPr>
  <dimension ref="B1:I64"/>
  <sheetViews>
    <sheetView showGridLines="0" tabSelected="1" topLeftCell="A5" zoomScale="90" zoomScaleNormal="90" workbookViewId="0">
      <selection activeCell="G11" sqref="G11"/>
    </sheetView>
  </sheetViews>
  <sheetFormatPr baseColWidth="10" defaultColWidth="8.88671875" defaultRowHeight="14.25"/>
  <cols>
    <col min="1" max="1" width="2.77734375" customWidth="1"/>
    <col min="2" max="2" width="18.44140625" customWidth="1"/>
    <col min="3" max="8" width="17.77734375" customWidth="1"/>
    <col min="9" max="9" width="10.6640625" customWidth="1"/>
  </cols>
  <sheetData>
    <row r="1" spans="2:8" ht="59.25" customHeight="1">
      <c r="B1" s="58" t="str">
        <f>"Octubre "&amp;AñoCalendario</f>
        <v>Octubre 2026</v>
      </c>
      <c r="C1" s="50"/>
      <c r="D1" s="50"/>
      <c r="E1" s="51"/>
      <c r="F1" s="51"/>
      <c r="G1" s="51"/>
      <c r="H1" s="52"/>
    </row>
    <row r="2" spans="2:8" ht="21.75" customHeight="1">
      <c r="B2" s="5" t="str">
        <f>IF(InicioDeSemana="DOMINGO", "DOMINGO","LUNES")</f>
        <v>LUNES</v>
      </c>
      <c r="C2" s="5" t="str">
        <f t="shared" ref="C2:H2" si="0">UPPER(TEXT(C3,"dddd"))</f>
        <v>MARTES</v>
      </c>
      <c r="D2" s="5" t="str">
        <f t="shared" si="0"/>
        <v>MIÉRCOLES</v>
      </c>
      <c r="E2" s="5" t="str">
        <f t="shared" si="0"/>
        <v>JUEVES</v>
      </c>
      <c r="F2" s="5" t="str">
        <f t="shared" si="0"/>
        <v>VIERNES</v>
      </c>
      <c r="G2" s="5" t="str">
        <f t="shared" si="0"/>
        <v>SÁBADO</v>
      </c>
      <c r="H2" s="5" t="str">
        <f t="shared" si="0"/>
        <v>DOMINGO</v>
      </c>
    </row>
    <row r="3" spans="2:8" ht="19.5" customHeight="1">
      <c r="B3" s="59">
        <f t="array" ref="B3:H3">DaysAndWeeks+DATE(AñoCalendario,10,1)-WEEKDAY(DATE(AñoCalendario,10,1),(InicioDeSemana="LUNES")+1)+1</f>
        <v>46293</v>
      </c>
      <c r="C3" s="59">
        <v>46294</v>
      </c>
      <c r="D3" s="59">
        <v>46295</v>
      </c>
      <c r="E3" s="59">
        <v>46296</v>
      </c>
      <c r="F3" s="59">
        <v>46297</v>
      </c>
      <c r="G3" s="59">
        <v>46298</v>
      </c>
      <c r="H3" s="59">
        <v>46299</v>
      </c>
    </row>
    <row r="4" spans="2:8" ht="57.95" customHeight="1">
      <c r="B4" s="83"/>
      <c r="C4" s="83"/>
      <c r="D4" s="83"/>
      <c r="E4" s="147" t="s">
        <v>478</v>
      </c>
      <c r="F4" s="65" t="s">
        <v>482</v>
      </c>
      <c r="G4" s="89"/>
      <c r="H4" s="83"/>
    </row>
    <row r="5" spans="2:8" ht="57.95" customHeight="1">
      <c r="B5" s="97"/>
      <c r="C5" s="97"/>
      <c r="D5" s="97"/>
      <c r="E5" s="97"/>
      <c r="F5" s="97" t="s">
        <v>289</v>
      </c>
      <c r="G5" s="83"/>
      <c r="H5" s="83"/>
    </row>
    <row r="6" spans="2:8" ht="19.5" customHeight="1">
      <c r="B6" s="149">
        <f t="array" ref="B6:H6">DaysAndWeeks+DATE(AñoCalendario,10,1)-WEEKDAY(DATE(AñoCalendario,10,1),(InicioDeSemana="LUNES")+1)+8</f>
        <v>46300</v>
      </c>
      <c r="C6" s="149">
        <v>46301</v>
      </c>
      <c r="D6" s="149">
        <v>46302</v>
      </c>
      <c r="E6" s="149">
        <v>46303</v>
      </c>
      <c r="F6" s="149">
        <v>46304</v>
      </c>
      <c r="G6" s="149">
        <v>46305</v>
      </c>
      <c r="H6" s="149">
        <v>46306</v>
      </c>
    </row>
    <row r="7" spans="2:8" ht="87.75" customHeight="1">
      <c r="B7" s="65" t="s">
        <v>487</v>
      </c>
      <c r="C7" s="65" t="s">
        <v>484</v>
      </c>
      <c r="D7" s="83" t="s">
        <v>485</v>
      </c>
      <c r="E7" s="83" t="s">
        <v>477</v>
      </c>
      <c r="F7" s="83" t="s">
        <v>483</v>
      </c>
      <c r="G7" s="80"/>
      <c r="H7" s="151"/>
    </row>
    <row r="8" spans="2:8" ht="68.25" customHeight="1">
      <c r="B8" s="145" t="s">
        <v>286</v>
      </c>
      <c r="C8" s="145"/>
      <c r="D8" s="145" t="s">
        <v>369</v>
      </c>
      <c r="E8" s="145"/>
      <c r="F8" s="145" t="s">
        <v>17</v>
      </c>
      <c r="G8" s="151"/>
      <c r="H8" s="151"/>
    </row>
    <row r="9" spans="2:8" ht="19.5" customHeight="1">
      <c r="B9" s="148">
        <f t="array" ref="B9:H9">DaysAndWeeks+DATE(AñoCalendario,10,1)-WEEKDAY(DATE(AñoCalendario,10,1),(InicioDeSemana="LUNES")+1)+15</f>
        <v>46307</v>
      </c>
      <c r="C9" s="148">
        <v>46308</v>
      </c>
      <c r="D9" s="148">
        <v>46309</v>
      </c>
      <c r="E9" s="148">
        <v>46310</v>
      </c>
      <c r="F9" s="148">
        <v>46311</v>
      </c>
      <c r="G9" s="148">
        <v>46312</v>
      </c>
      <c r="H9" s="148">
        <v>46313</v>
      </c>
    </row>
    <row r="10" spans="2:8" ht="84.75" customHeight="1">
      <c r="B10" s="65" t="s">
        <v>488</v>
      </c>
      <c r="C10" s="65" t="s">
        <v>476</v>
      </c>
      <c r="D10" s="83" t="s">
        <v>486</v>
      </c>
      <c r="E10" s="83" t="s">
        <v>477</v>
      </c>
      <c r="F10" s="83" t="s">
        <v>483</v>
      </c>
      <c r="G10" s="89"/>
      <c r="H10" s="83"/>
    </row>
    <row r="11" spans="2:8" ht="84.75" customHeight="1">
      <c r="B11" s="145" t="s">
        <v>488</v>
      </c>
      <c r="C11" s="145" t="s">
        <v>17</v>
      </c>
      <c r="D11" s="145" t="s">
        <v>369</v>
      </c>
      <c r="E11" s="145"/>
      <c r="F11" s="145" t="s">
        <v>17</v>
      </c>
      <c r="G11" s="83"/>
      <c r="H11" s="83"/>
    </row>
    <row r="12" spans="2:8" ht="19.5" customHeight="1">
      <c r="B12" s="149">
        <f t="array" ref="B12:H12">DaysAndWeeks+DATE(AñoCalendario,10,1)-WEEKDAY(DATE(AñoCalendario,10,1),(InicioDeSemana="LUNES")+1)+22</f>
        <v>46314</v>
      </c>
      <c r="C12" s="149">
        <v>46315</v>
      </c>
      <c r="D12" s="149">
        <v>46316</v>
      </c>
      <c r="E12" s="149">
        <v>46317</v>
      </c>
      <c r="F12" s="149">
        <v>46318</v>
      </c>
      <c r="G12" s="149">
        <v>46319</v>
      </c>
      <c r="H12" s="149">
        <v>46320</v>
      </c>
    </row>
    <row r="13" spans="2:8" ht="83.25" customHeight="1">
      <c r="B13" s="65" t="s">
        <v>479</v>
      </c>
      <c r="C13" s="65" t="s">
        <v>476</v>
      </c>
      <c r="D13" s="83" t="s">
        <v>486</v>
      </c>
      <c r="E13" s="83" t="s">
        <v>477</v>
      </c>
      <c r="F13" s="83" t="s">
        <v>483</v>
      </c>
      <c r="G13" s="89"/>
      <c r="H13" s="80"/>
    </row>
    <row r="14" spans="2:8" ht="83.25" customHeight="1">
      <c r="B14" s="145" t="s">
        <v>286</v>
      </c>
      <c r="C14" s="145" t="s">
        <v>17</v>
      </c>
      <c r="D14" s="145" t="s">
        <v>369</v>
      </c>
      <c r="E14" s="145"/>
      <c r="F14" s="145" t="s">
        <v>17</v>
      </c>
      <c r="G14" s="80"/>
      <c r="H14" s="80"/>
    </row>
    <row r="15" spans="2:8" ht="19.5" customHeight="1">
      <c r="B15" s="148">
        <f t="array" ref="B15:H15">DaysAndWeeks+DATE(AñoCalendario,10,1)-WEEKDAY(DATE(AñoCalendario,10,1),(InicioDeSemana="LUNES")+1)+29</f>
        <v>46321</v>
      </c>
      <c r="C15" s="148">
        <v>46322</v>
      </c>
      <c r="D15" s="148">
        <v>46323</v>
      </c>
      <c r="E15" s="148">
        <v>46324</v>
      </c>
      <c r="F15" s="148">
        <v>46325</v>
      </c>
      <c r="G15" s="148">
        <v>46326</v>
      </c>
      <c r="H15" s="148">
        <v>46327</v>
      </c>
    </row>
    <row r="16" spans="2:8" ht="95.25" customHeight="1">
      <c r="B16" s="65" t="s">
        <v>479</v>
      </c>
      <c r="C16" s="65" t="s">
        <v>476</v>
      </c>
      <c r="D16" s="83" t="s">
        <v>486</v>
      </c>
      <c r="E16" s="83" t="s">
        <v>477</v>
      </c>
      <c r="F16" s="83" t="s">
        <v>460</v>
      </c>
      <c r="G16" s="83"/>
      <c r="H16" s="83"/>
    </row>
    <row r="17" spans="2:8" ht="95.25" customHeight="1">
      <c r="B17" s="145" t="s">
        <v>286</v>
      </c>
      <c r="C17" s="145" t="s">
        <v>17</v>
      </c>
      <c r="D17" s="145" t="s">
        <v>369</v>
      </c>
      <c r="E17" s="145"/>
      <c r="F17" s="145" t="s">
        <v>17</v>
      </c>
      <c r="G17" s="83"/>
      <c r="H17" s="83"/>
    </row>
    <row r="18" spans="2:8" ht="19.5" customHeight="1">
      <c r="B18" s="60">
        <f t="array" ref="B18:C18">DaysAndWeeks+DATE(AñoCalendario,10,1)-WEEKDAY(DATE(AñoCalendario,10,1),(InicioDeSemana="LUNES")+1)+36</f>
        <v>46328</v>
      </c>
      <c r="C18" s="60">
        <v>46329</v>
      </c>
      <c r="D18" s="63" t="s">
        <v>0</v>
      </c>
      <c r="E18" s="251"/>
      <c r="F18" s="251"/>
      <c r="G18" s="251"/>
      <c r="H18" s="252"/>
    </row>
    <row r="19" spans="2:8" ht="57.95" customHeight="1">
      <c r="B19" s="60"/>
      <c r="C19" s="60"/>
      <c r="D19" s="7"/>
      <c r="E19" s="253"/>
      <c r="F19" s="253"/>
      <c r="G19" s="253"/>
      <c r="H19" s="254"/>
    </row>
    <row r="20" spans="2:8" ht="57.95" customHeight="1">
      <c r="B20" s="75"/>
      <c r="C20" s="75"/>
      <c r="D20" s="60"/>
      <c r="E20" s="60"/>
      <c r="F20" s="60"/>
      <c r="G20" s="74"/>
      <c r="H20" s="74"/>
    </row>
    <row r="26" spans="2:8">
      <c r="H26" t="s">
        <v>32</v>
      </c>
    </row>
    <row r="27" spans="2:8">
      <c r="C27" s="66"/>
      <c r="D27" s="67" t="s">
        <v>6</v>
      </c>
      <c r="E27" s="67" t="s">
        <v>7</v>
      </c>
    </row>
    <row r="28" spans="2:8" ht="15">
      <c r="B28" s="223"/>
      <c r="C28" s="157" t="s">
        <v>18</v>
      </c>
      <c r="D28" s="221" t="s">
        <v>396</v>
      </c>
      <c r="E28" s="181">
        <f>COUNTIF(B4:H18,"*Nil*")</f>
        <v>21</v>
      </c>
      <c r="F28" s="190">
        <f>E28*18</f>
        <v>378</v>
      </c>
    </row>
    <row r="29" spans="2:8" ht="15">
      <c r="B29" s="223"/>
      <c r="C29" s="195" t="s">
        <v>367</v>
      </c>
      <c r="D29" s="221" t="s">
        <v>289</v>
      </c>
      <c r="E29" s="181">
        <f>COUNTIF(B4:H21,"*Xavi*")</f>
        <v>14</v>
      </c>
      <c r="F29" s="190">
        <f>E29*25</f>
        <v>350</v>
      </c>
    </row>
    <row r="30" spans="2:8" ht="15">
      <c r="B30" s="223"/>
      <c r="C30" s="224" t="s">
        <v>16</v>
      </c>
      <c r="D30" s="181" t="s">
        <v>17</v>
      </c>
      <c r="E30" s="181">
        <f>COUNTIF(B4:H20,"*mario*")</f>
        <v>26</v>
      </c>
      <c r="F30" s="190">
        <f>E30*20</f>
        <v>520</v>
      </c>
    </row>
    <row r="31" spans="2:8" ht="15" customHeight="1">
      <c r="B31" s="264" t="s">
        <v>427</v>
      </c>
      <c r="C31" s="265"/>
      <c r="D31" s="221" t="s">
        <v>19</v>
      </c>
      <c r="E31" s="181">
        <f>COUNTIF(B3:H18,"*Hector*")</f>
        <v>13</v>
      </c>
      <c r="F31" s="190">
        <f>E31*25</f>
        <v>325</v>
      </c>
    </row>
    <row r="32" spans="2:8" ht="15">
      <c r="B32" s="223"/>
      <c r="C32" s="196" t="s">
        <v>302</v>
      </c>
      <c r="D32" s="183" t="s">
        <v>244</v>
      </c>
      <c r="E32" s="181">
        <f>COUNTIF(B2:H18,"*richard*")</f>
        <v>9</v>
      </c>
      <c r="F32" s="190">
        <f>E32*25</f>
        <v>225</v>
      </c>
    </row>
    <row r="33" spans="2:6" ht="15">
      <c r="B33" s="223"/>
      <c r="C33" s="195" t="s">
        <v>161</v>
      </c>
      <c r="D33" s="183" t="s">
        <v>204</v>
      </c>
      <c r="E33" s="181">
        <f>COUNTIF(B2:H18,"*Mary*")</f>
        <v>20</v>
      </c>
      <c r="F33" s="190">
        <f>E33*25</f>
        <v>500</v>
      </c>
    </row>
    <row r="34" spans="2:6" ht="15">
      <c r="B34" s="223"/>
      <c r="C34" s="226" t="s">
        <v>18</v>
      </c>
      <c r="D34" s="221" t="s">
        <v>454</v>
      </c>
      <c r="E34" s="181">
        <f>COUNTIF(B2:H18,"*Mati*")</f>
        <v>3</v>
      </c>
      <c r="F34" s="190"/>
    </row>
    <row r="35" spans="2:6" ht="15">
      <c r="B35" s="271" t="s">
        <v>279</v>
      </c>
      <c r="C35" s="271"/>
      <c r="D35" s="183" t="s">
        <v>246</v>
      </c>
      <c r="E35" s="181">
        <f>COUNTIF(B2:H18,"*Jota*")</f>
        <v>20</v>
      </c>
      <c r="F35" s="190">
        <f>E35*25</f>
        <v>500</v>
      </c>
    </row>
    <row r="36" spans="2:6" ht="15">
      <c r="B36" s="223"/>
      <c r="C36" s="225" t="s">
        <v>18</v>
      </c>
      <c r="D36" s="221" t="s">
        <v>345</v>
      </c>
      <c r="E36" s="181">
        <f>COUNTIF(B2:H18,"*Manolo*")</f>
        <v>13</v>
      </c>
      <c r="F36" s="190">
        <f t="shared" ref="F36:F43" si="1">E36*25</f>
        <v>325</v>
      </c>
    </row>
    <row r="37" spans="2:6" ht="14.25" customHeight="1">
      <c r="B37" s="273" t="s">
        <v>282</v>
      </c>
      <c r="C37" s="273"/>
      <c r="D37" s="183" t="s">
        <v>248</v>
      </c>
      <c r="E37" s="181">
        <f>COUNTIF(B2:H18,"*Montse*")</f>
        <v>24</v>
      </c>
      <c r="F37" s="190">
        <f t="shared" si="1"/>
        <v>600</v>
      </c>
    </row>
    <row r="38" spans="2:6" ht="15" customHeight="1">
      <c r="B38" s="264" t="s">
        <v>83</v>
      </c>
      <c r="C38" s="265"/>
      <c r="D38" s="183" t="s">
        <v>255</v>
      </c>
      <c r="E38" s="181">
        <f>COUNTIF(B2:H18,"*Raúl*")</f>
        <v>21</v>
      </c>
      <c r="F38" s="190">
        <f t="shared" si="1"/>
        <v>525</v>
      </c>
    </row>
    <row r="39" spans="2:6" ht="15">
      <c r="B39" s="223"/>
      <c r="C39" s="226"/>
      <c r="D39" s="221" t="s">
        <v>453</v>
      </c>
      <c r="E39" s="181">
        <f>COUNTIF(B2:H18,"*Jesús*")</f>
        <v>0</v>
      </c>
      <c r="F39" s="190">
        <f t="shared" si="1"/>
        <v>0</v>
      </c>
    </row>
    <row r="40" spans="2:6" ht="14.25" customHeight="1">
      <c r="B40" s="271"/>
      <c r="C40" s="271"/>
      <c r="D40" s="221" t="s">
        <v>452</v>
      </c>
      <c r="E40" s="181">
        <f>COUNTIF(B2:H18,"*LauraM*")</f>
        <v>8</v>
      </c>
      <c r="F40" s="190">
        <f t="shared" si="1"/>
        <v>200</v>
      </c>
    </row>
    <row r="41" spans="2:6" ht="15" customHeight="1">
      <c r="B41" s="264" t="s">
        <v>95</v>
      </c>
      <c r="C41" s="265"/>
      <c r="D41" s="183" t="s">
        <v>90</v>
      </c>
      <c r="E41" s="181">
        <f>COUNTIF(B2:H18,"*Nuria*")</f>
        <v>0</v>
      </c>
      <c r="F41" s="190">
        <f t="shared" si="1"/>
        <v>0</v>
      </c>
    </row>
    <row r="42" spans="2:6" ht="15">
      <c r="B42" s="223"/>
      <c r="C42" s="225" t="s">
        <v>18</v>
      </c>
      <c r="D42" s="183" t="s">
        <v>256</v>
      </c>
      <c r="E42" s="181">
        <f>COUNTIF(B2:H18,"*Alex*")</f>
        <v>0</v>
      </c>
      <c r="F42" s="190">
        <f t="shared" si="1"/>
        <v>0</v>
      </c>
    </row>
    <row r="43" spans="2:6" ht="15">
      <c r="B43" s="223"/>
      <c r="C43" s="162" t="s">
        <v>168</v>
      </c>
      <c r="D43" s="183" t="s">
        <v>257</v>
      </c>
      <c r="E43" s="181">
        <f>COUNTIF(B2:H18,"*Isa*")</f>
        <v>0</v>
      </c>
      <c r="F43" s="190">
        <f t="shared" si="1"/>
        <v>0</v>
      </c>
    </row>
    <row r="44" spans="2:6" ht="15">
      <c r="B44" s="271"/>
      <c r="C44" s="271"/>
      <c r="D44" s="183" t="s">
        <v>258</v>
      </c>
      <c r="E44" s="181">
        <f>COUNTIF(B2:H18,"*Eric*")</f>
        <v>0</v>
      </c>
      <c r="F44" s="190"/>
    </row>
    <row r="45" spans="2:6" ht="15">
      <c r="B45" s="272" t="s">
        <v>422</v>
      </c>
      <c r="C45" s="272"/>
      <c r="D45" s="183" t="s">
        <v>259</v>
      </c>
      <c r="E45" s="181">
        <f>COUNTIF(B2:H18,"*Shamil*")</f>
        <v>0</v>
      </c>
      <c r="F45" s="190"/>
    </row>
    <row r="46" spans="2:6" ht="15">
      <c r="B46" s="223"/>
      <c r="C46" s="195" t="s">
        <v>278</v>
      </c>
      <c r="D46" s="183" t="s">
        <v>242</v>
      </c>
      <c r="E46" s="181">
        <f>COUNTIF(B2:H18,"*Salva*")</f>
        <v>20</v>
      </c>
      <c r="F46" s="190">
        <f>E46*25</f>
        <v>500</v>
      </c>
    </row>
    <row r="47" spans="2:6" ht="15">
      <c r="B47" s="223"/>
      <c r="C47" s="227"/>
      <c r="D47" s="221" t="s">
        <v>458</v>
      </c>
      <c r="E47" s="181">
        <f>COUNTIF(B2:H18,"*Pau*")</f>
        <v>7</v>
      </c>
      <c r="F47" s="190">
        <f t="shared" ref="F47:F48" si="2">E47*25</f>
        <v>175</v>
      </c>
    </row>
    <row r="48" spans="2:6" ht="15">
      <c r="B48" s="223"/>
      <c r="C48" s="227"/>
      <c r="D48" s="288" t="s">
        <v>480</v>
      </c>
      <c r="E48" s="181">
        <f>COUNTIF(B2:H18,"*Pau*")</f>
        <v>7</v>
      </c>
      <c r="F48" s="190">
        <f t="shared" si="2"/>
        <v>175</v>
      </c>
    </row>
    <row r="49" spans="2:9" ht="15">
      <c r="B49" s="223"/>
      <c r="C49" s="227" t="s">
        <v>18</v>
      </c>
      <c r="D49" s="288" t="s">
        <v>481</v>
      </c>
      <c r="E49" s="181">
        <f>COUNTIF(B2:H18,"*Paula*")</f>
        <v>7</v>
      </c>
      <c r="F49" s="190">
        <f>E49*10</f>
        <v>70</v>
      </c>
    </row>
    <row r="50" spans="2:9" ht="15">
      <c r="B50" s="223"/>
      <c r="C50" s="227" t="s">
        <v>18</v>
      </c>
      <c r="D50" s="221" t="s">
        <v>304</v>
      </c>
      <c r="E50" s="181">
        <f>COUNTIF(B3:H19,"*Iria*")</f>
        <v>3</v>
      </c>
      <c r="F50" s="190">
        <f>E50*10</f>
        <v>30</v>
      </c>
    </row>
    <row r="51" spans="2:9" ht="15" customHeight="1">
      <c r="B51" s="223"/>
      <c r="C51" s="225" t="s">
        <v>18</v>
      </c>
      <c r="D51" s="221" t="s">
        <v>455</v>
      </c>
      <c r="E51" s="181">
        <f>COUNTIF(B2:H18,"*Naiara*")</f>
        <v>9</v>
      </c>
      <c r="F51" s="190">
        <f>E51*10</f>
        <v>90</v>
      </c>
    </row>
    <row r="52" spans="2:9" ht="15" customHeight="1">
      <c r="B52" s="264" t="s">
        <v>237</v>
      </c>
      <c r="C52" s="265"/>
      <c r="D52" s="181" t="s">
        <v>26</v>
      </c>
      <c r="E52" s="181">
        <f>COUNTIF(B3:H19,"*Lolo*")</f>
        <v>0</v>
      </c>
      <c r="F52" s="190">
        <f>E52*10</f>
        <v>0</v>
      </c>
    </row>
    <row r="53" spans="2:9" ht="15" customHeight="1">
      <c r="B53" s="271"/>
      <c r="C53" s="271"/>
      <c r="D53" s="183" t="s">
        <v>260</v>
      </c>
      <c r="E53" s="181"/>
      <c r="F53" s="190"/>
    </row>
    <row r="54" spans="2:9" ht="15" customHeight="1">
      <c r="B54" s="257"/>
      <c r="C54" s="257"/>
      <c r="D54" s="220" t="s">
        <v>28</v>
      </c>
      <c r="E54" s="219">
        <f>SUM(E28:E52)</f>
        <v>245</v>
      </c>
      <c r="F54" s="190">
        <f>SUM(F28:F52)</f>
        <v>5488</v>
      </c>
    </row>
    <row r="55" spans="2:9" ht="15" customHeight="1">
      <c r="B55" s="257"/>
      <c r="C55" s="257"/>
      <c r="D55" s="153"/>
      <c r="E55" s="67"/>
    </row>
    <row r="56" spans="2:9" ht="15" customHeight="1">
      <c r="B56" s="154"/>
      <c r="C56" s="154"/>
      <c r="D56" s="222"/>
      <c r="E56" s="67"/>
    </row>
    <row r="57" spans="2:9" ht="15" customHeight="1">
      <c r="B57" s="257"/>
      <c r="C57" s="257"/>
      <c r="D57" s="153"/>
      <c r="E57" s="67"/>
    </row>
    <row r="58" spans="2:9" ht="15" customHeight="1">
      <c r="C58" s="66"/>
      <c r="D58" s="152"/>
      <c r="E58" s="67"/>
    </row>
    <row r="59" spans="2:9">
      <c r="D59" s="76"/>
      <c r="H59" t="s">
        <v>271</v>
      </c>
      <c r="I59">
        <f>11628.75+782.5</f>
        <v>12411.25</v>
      </c>
    </row>
    <row r="60" spans="2:9">
      <c r="H60" t="s">
        <v>272</v>
      </c>
      <c r="I60">
        <v>6300</v>
      </c>
    </row>
    <row r="63" spans="2:9">
      <c r="G63" t="s">
        <v>273</v>
      </c>
      <c r="H63">
        <f>I59-F59</f>
        <v>12411.25</v>
      </c>
    </row>
    <row r="64" spans="2:9">
      <c r="G64" t="s">
        <v>274</v>
      </c>
      <c r="H64">
        <f>H63+I60</f>
        <v>18711.25</v>
      </c>
    </row>
  </sheetData>
  <mergeCells count="14">
    <mergeCell ref="B53:C53"/>
    <mergeCell ref="B54:C54"/>
    <mergeCell ref="B55:C55"/>
    <mergeCell ref="B57:C57"/>
    <mergeCell ref="E18:H19"/>
    <mergeCell ref="B52:C52"/>
    <mergeCell ref="B35:C35"/>
    <mergeCell ref="B40:C40"/>
    <mergeCell ref="B44:C44"/>
    <mergeCell ref="B45:C45"/>
    <mergeCell ref="B37:C37"/>
    <mergeCell ref="B31:C31"/>
    <mergeCell ref="B38:C38"/>
    <mergeCell ref="B41:C41"/>
  </mergeCells>
  <phoneticPr fontId="78" type="noConversion"/>
  <conditionalFormatting sqref="B18:D18">
    <cfRule type="expression" dxfId="33" priority="1">
      <formula>AND(DAY(B18)&gt;=1,DAY(B18)&lt;=15)</formula>
    </cfRule>
  </conditionalFormatting>
  <conditionalFormatting sqref="B3:G3">
    <cfRule type="expression" dxfId="32" priority="3">
      <formula>DAY(B3)&gt;8</formula>
    </cfRule>
  </conditionalFormatting>
  <conditionalFormatting sqref="B15:H15">
    <cfRule type="expression" dxfId="31" priority="4">
      <formula>AND(DAY(B15)&gt;=1,DAY(B15)&lt;=15)</formula>
    </cfRule>
  </conditionalFormatting>
  <dataValidations count="9">
    <dataValidation allowBlank="1" showInputMessage="1" showErrorMessage="1" prompt="El día de la semana se determinará automáticamente" sqref="C2:H2" xr:uid="{00000000-0002-0000-0900-000000000000}"/>
    <dataValidation allowBlank="1" showErrorMessage="1" prompt="El año de esta celda se actualiza automáticamente según el año especificado en la hoja de cálculo de Enero. El calendario siguiente incluye fechas de los meses anterior y posterior con un sombreado de fuente más claro." sqref="B1" xr:uid="{00000000-0002-0000-0900-000001000000}"/>
    <dataValidation allowBlank="1" showInputMessage="1" showErrorMessage="1" prompt="Esta fila y las filas 5, 7, 9, 11 y 13 contienen días naturales de la semana. Si esta celda no contiene el número 1, se trata de un día del mes anterior. Escriba notas en la celda E13." sqref="B3" xr:uid="{00000000-0002-0000-0900-000002000000}"/>
    <dataValidation allowBlank="1" showInputMessage="1" showErrorMessage="1" prompt="Esta fila contiene los nombres de los días laborables de este calendario. Esta celda contiene el día de inicio de la semana. Para cambiar el día de inicio, escriba un nuevo día laborable en la celda K4 de la hoja de cálculo Enero." sqref="B2" xr:uid="{00000000-0002-0000-0900-000003000000}"/>
    <dataValidation allowBlank="1" showInputMessage="1" showErrorMessage="1" prompt="Calendario del mes de octubre" sqref="A1" xr:uid="{00000000-0002-0000-0900-000005000000}"/>
    <dataValidation allowBlank="1" showInputMessage="1" showErrorMessage="1" prompt="Escriba notas en la celda a la derecha." sqref="D18:D19" xr:uid="{00000000-0002-0000-0900-000006000000}"/>
    <dataValidation allowBlank="1" showInputMessage="1" showErrorMessage="1" prompt="Escriba notas en esta celda." sqref="G18:H20 E18:F19" xr:uid="{00000000-0002-0000-0900-000007000000}"/>
    <dataValidation allowBlank="1" showInputMessage="1" showErrorMessage="1" prompt="Las celdas de esta fila y las filas 6, 8, 10, 12 y 14 son para escribir notas diarias relacionadas con el día natural de la celda anterior." sqref="B4" xr:uid="{00000000-0002-0000-0900-000008000000}"/>
    <dataValidation allowBlank="1" showInputMessage="1" showErrorMessage="1" prompt="El año en esta celda se actualiza automáticamente. Seleccione otro año en la celda K3 de la hoja de cálculo Enero para cambiar el año" sqref="C1" xr:uid="{873421E6-8E6D-4E29-8E27-EC2434AD0373}"/>
  </dataValidations>
  <printOptions horizontalCentered="1" verticalCentered="1"/>
  <pageMargins left="0.7" right="0.7" top="0.75" bottom="0.75" header="0.3" footer="0.3"/>
  <pageSetup paperSize="9" scale="83" orientation="landscape" r:id="rId1"/>
  <headerFooter differentFirst="1">
    <oddFooter>Page &amp;P of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theme="9" tint="-0.499984740745262"/>
    <pageSetUpPr fitToPage="1"/>
  </sheetPr>
  <dimension ref="B1:J63"/>
  <sheetViews>
    <sheetView showGridLines="0" topLeftCell="A19" zoomScale="90" zoomScaleNormal="90" workbookViewId="0">
      <selection activeCell="E13" sqref="E13"/>
    </sheetView>
  </sheetViews>
  <sheetFormatPr baseColWidth="10" defaultColWidth="8.88671875" defaultRowHeight="14.25"/>
  <cols>
    <col min="1" max="1" width="2.77734375" customWidth="1"/>
    <col min="2" max="2" width="18.44140625" customWidth="1"/>
    <col min="3" max="8" width="17.77734375" customWidth="1"/>
    <col min="9" max="9" width="22.33203125" customWidth="1"/>
    <col min="10" max="10" width="12.6640625" customWidth="1"/>
  </cols>
  <sheetData>
    <row r="1" spans="2:8" ht="59.25" customHeight="1">
      <c r="B1" s="53" t="str">
        <f>"Noviembre "&amp;AñoCalendario</f>
        <v>Noviembre 2026</v>
      </c>
      <c r="C1" s="47"/>
      <c r="D1" s="47"/>
      <c r="E1" s="48"/>
      <c r="F1" s="48"/>
      <c r="G1" s="48"/>
      <c r="H1" s="49"/>
    </row>
    <row r="2" spans="2:8" ht="21.75" customHeight="1">
      <c r="B2" s="5" t="str">
        <f>IF(InicioDeSemana="DOMINGO", "DOMINGO","LUNES")</f>
        <v>LUNES</v>
      </c>
      <c r="C2" s="5" t="str">
        <f t="shared" ref="C2:H2" si="0">UPPER(TEXT(C3,"dddd"))</f>
        <v>MARTES</v>
      </c>
      <c r="D2" s="5" t="str">
        <f t="shared" si="0"/>
        <v>MIÉRCOLES</v>
      </c>
      <c r="E2" s="5" t="str">
        <f t="shared" si="0"/>
        <v>JUEVES</v>
      </c>
      <c r="F2" s="5" t="str">
        <f t="shared" si="0"/>
        <v>VIERNES</v>
      </c>
      <c r="G2" s="5" t="str">
        <f t="shared" si="0"/>
        <v>SÁBADO</v>
      </c>
      <c r="H2" s="5" t="str">
        <f t="shared" si="0"/>
        <v>DOMINGO</v>
      </c>
    </row>
    <row r="3" spans="2:8" ht="19.5" customHeight="1">
      <c r="B3" s="59">
        <f t="array" ref="B3:H3">DaysAndWeeks+DATE(AñoCalendario,11,1)-WEEKDAY(DATE(AñoCalendario,11,1),(InicioDeSemana="LUNES")+1)+1</f>
        <v>46321</v>
      </c>
      <c r="C3" s="59">
        <v>46322</v>
      </c>
      <c r="D3" s="59">
        <v>46323</v>
      </c>
      <c r="E3" s="59">
        <v>46324</v>
      </c>
      <c r="F3" s="59">
        <v>46325</v>
      </c>
      <c r="G3" s="59">
        <v>46326</v>
      </c>
      <c r="H3" s="59">
        <v>46327</v>
      </c>
    </row>
    <row r="4" spans="2:8" ht="57.95" customHeight="1">
      <c r="B4" s="59"/>
      <c r="C4" s="59"/>
      <c r="D4" s="59"/>
      <c r="E4" s="83"/>
      <c r="F4" s="83"/>
      <c r="G4" s="82" t="s">
        <v>31</v>
      </c>
      <c r="H4" s="59"/>
    </row>
    <row r="5" spans="2:8" ht="50.25" customHeight="1">
      <c r="B5" s="79"/>
      <c r="C5" s="79"/>
      <c r="D5" s="79"/>
      <c r="E5" s="79"/>
      <c r="F5" s="75"/>
      <c r="G5" s="79"/>
      <c r="H5" s="79"/>
    </row>
    <row r="6" spans="2:8" ht="19.5" customHeight="1">
      <c r="B6" s="60">
        <f t="array" ref="B6:H6">DaysAndWeeks+DATE(AñoCalendario,11,1)-WEEKDAY(DATE(AñoCalendario,11,1),(InicioDeSemana="LUNES")+1)+8</f>
        <v>46328</v>
      </c>
      <c r="C6" s="60">
        <v>46329</v>
      </c>
      <c r="D6" s="60">
        <v>46330</v>
      </c>
      <c r="E6" s="60">
        <v>46331</v>
      </c>
      <c r="F6" s="60">
        <v>46332</v>
      </c>
      <c r="G6" s="60">
        <v>46333</v>
      </c>
      <c r="H6" s="60">
        <v>46334</v>
      </c>
    </row>
    <row r="7" spans="2:8" ht="67.5" customHeight="1">
      <c r="B7" s="80" t="s">
        <v>285</v>
      </c>
      <c r="C7" s="83" t="s">
        <v>261</v>
      </c>
      <c r="D7" s="83" t="s">
        <v>287</v>
      </c>
      <c r="E7" s="83" t="s">
        <v>288</v>
      </c>
      <c r="F7" s="83" t="s">
        <v>251</v>
      </c>
      <c r="G7" s="89" t="s">
        <v>268</v>
      </c>
      <c r="H7" s="80"/>
    </row>
    <row r="8" spans="2:8" ht="57.95" customHeight="1">
      <c r="B8" s="97" t="s">
        <v>286</v>
      </c>
      <c r="C8" s="97" t="s">
        <v>17</v>
      </c>
      <c r="D8" s="97" t="s">
        <v>291</v>
      </c>
      <c r="E8" s="97" t="s">
        <v>250</v>
      </c>
      <c r="F8" s="97" t="s">
        <v>247</v>
      </c>
      <c r="G8" s="97"/>
      <c r="H8" s="97"/>
    </row>
    <row r="9" spans="2:8" ht="19.5" customHeight="1">
      <c r="B9" s="82">
        <f t="array" ref="B9:H9">DaysAndWeeks+DATE(AñoCalendario,11,1)-WEEKDAY(DATE(AñoCalendario,11,1),(InicioDeSemana="LUNES")+1)+15</f>
        <v>46335</v>
      </c>
      <c r="C9" s="82">
        <v>46336</v>
      </c>
      <c r="D9" s="82">
        <v>46337</v>
      </c>
      <c r="E9" s="82">
        <v>46338</v>
      </c>
      <c r="F9" s="82">
        <v>46339</v>
      </c>
      <c r="G9" s="82">
        <v>46340</v>
      </c>
      <c r="H9" s="82">
        <v>46341</v>
      </c>
    </row>
    <row r="10" spans="2:8" ht="86.25" customHeight="1">
      <c r="B10" s="83" t="s">
        <v>298</v>
      </c>
      <c r="C10" s="83" t="s">
        <v>261</v>
      </c>
      <c r="D10" s="83" t="s">
        <v>287</v>
      </c>
      <c r="E10" s="83" t="s">
        <v>293</v>
      </c>
      <c r="F10" s="83" t="s">
        <v>262</v>
      </c>
      <c r="G10" s="89" t="s">
        <v>292</v>
      </c>
      <c r="H10" s="82"/>
    </row>
    <row r="11" spans="2:8" ht="57.95" customHeight="1">
      <c r="B11" s="97" t="s">
        <v>286</v>
      </c>
      <c r="C11" s="97" t="s">
        <v>17</v>
      </c>
      <c r="D11" s="97" t="s">
        <v>291</v>
      </c>
      <c r="E11" s="97" t="s">
        <v>250</v>
      </c>
      <c r="F11" s="97" t="s">
        <v>247</v>
      </c>
      <c r="G11" s="96"/>
      <c r="H11" s="96"/>
    </row>
    <row r="12" spans="2:8" ht="19.5" customHeight="1">
      <c r="B12" s="80">
        <f t="array" ref="B12:H12">DaysAndWeeks+DATE(AñoCalendario,11,1)-WEEKDAY(DATE(AñoCalendario,11,1),(InicioDeSemana="LUNES")+1)+22</f>
        <v>46342</v>
      </c>
      <c r="C12" s="80">
        <v>46343</v>
      </c>
      <c r="D12" s="80">
        <v>46344</v>
      </c>
      <c r="E12" s="80">
        <v>46345</v>
      </c>
      <c r="F12" s="80">
        <v>46346</v>
      </c>
      <c r="G12" s="80">
        <v>46347</v>
      </c>
      <c r="H12" s="80">
        <v>46348</v>
      </c>
    </row>
    <row r="13" spans="2:8" ht="78.75" customHeight="1">
      <c r="B13" s="83" t="s">
        <v>299</v>
      </c>
      <c r="C13" s="83" t="s">
        <v>294</v>
      </c>
      <c r="D13" s="83" t="s">
        <v>287</v>
      </c>
      <c r="E13" s="83" t="s">
        <v>319</v>
      </c>
      <c r="F13" s="83" t="s">
        <v>295</v>
      </c>
      <c r="G13" s="89" t="s">
        <v>268</v>
      </c>
      <c r="H13" s="80"/>
    </row>
    <row r="14" spans="2:8" ht="57.95" customHeight="1">
      <c r="B14" s="97" t="s">
        <v>286</v>
      </c>
      <c r="C14" s="97" t="s">
        <v>17</v>
      </c>
      <c r="D14" s="97" t="s">
        <v>249</v>
      </c>
      <c r="E14" s="97" t="s">
        <v>250</v>
      </c>
      <c r="F14" s="97" t="s">
        <v>247</v>
      </c>
      <c r="G14" s="97"/>
      <c r="H14" s="97"/>
    </row>
    <row r="15" spans="2:8" ht="19.5" customHeight="1">
      <c r="B15" s="82">
        <f t="array" ref="B15:H15">DaysAndWeeks+DATE(AñoCalendario,11,1)-WEEKDAY(DATE(AñoCalendario,11,1),(InicioDeSemana="LUNES")+1)+29</f>
        <v>46349</v>
      </c>
      <c r="C15" s="82">
        <v>46350</v>
      </c>
      <c r="D15" s="82">
        <v>46351</v>
      </c>
      <c r="E15" s="82">
        <v>46352</v>
      </c>
      <c r="F15" s="82">
        <v>46353</v>
      </c>
      <c r="G15" s="82">
        <v>46354</v>
      </c>
      <c r="H15" s="82">
        <v>46355</v>
      </c>
    </row>
    <row r="16" spans="2:8" ht="81" customHeight="1">
      <c r="B16" s="83" t="s">
        <v>309</v>
      </c>
      <c r="C16" s="83" t="s">
        <v>294</v>
      </c>
      <c r="D16" s="83" t="s">
        <v>305</v>
      </c>
      <c r="E16" s="83" t="s">
        <v>306</v>
      </c>
      <c r="F16" s="83" t="s">
        <v>262</v>
      </c>
      <c r="G16" s="89" t="s">
        <v>268</v>
      </c>
      <c r="H16" s="82"/>
    </row>
    <row r="17" spans="2:8" ht="57.95" customHeight="1">
      <c r="B17" s="97" t="s">
        <v>286</v>
      </c>
      <c r="C17" s="97" t="s">
        <v>17</v>
      </c>
      <c r="D17" s="97" t="s">
        <v>249</v>
      </c>
      <c r="E17" s="97" t="s">
        <v>250</v>
      </c>
      <c r="F17" s="97" t="s">
        <v>247</v>
      </c>
      <c r="G17" s="96"/>
      <c r="H17" s="96"/>
    </row>
    <row r="18" spans="2:8" ht="19.5" customHeight="1">
      <c r="B18" s="80">
        <f t="array" ref="B18:C18">DaysAndWeeks+DATE(AñoCalendario,11,1)-WEEKDAY(DATE(AñoCalendario,11,1),(InicioDeSemana="LUNES")+1)+36</f>
        <v>46356</v>
      </c>
      <c r="C18" s="80">
        <v>46357</v>
      </c>
      <c r="D18" s="155" t="s">
        <v>0</v>
      </c>
      <c r="E18" s="274"/>
      <c r="F18" s="274"/>
      <c r="G18" s="274"/>
      <c r="H18" s="275"/>
    </row>
    <row r="19" spans="2:8" ht="57.95" customHeight="1">
      <c r="B19" s="80"/>
      <c r="C19" s="80"/>
      <c r="D19" s="156"/>
      <c r="E19" s="276"/>
      <c r="F19" s="276"/>
      <c r="G19" s="276"/>
      <c r="H19" s="277"/>
    </row>
    <row r="26" spans="2:8">
      <c r="C26" s="158"/>
      <c r="D26" s="158"/>
      <c r="H26" t="s">
        <v>32</v>
      </c>
    </row>
    <row r="27" spans="2:8">
      <c r="C27" s="158"/>
      <c r="D27" s="159"/>
      <c r="E27" s="67" t="s">
        <v>6</v>
      </c>
      <c r="F27" s="153" t="s">
        <v>269</v>
      </c>
    </row>
    <row r="28" spans="2:8" ht="15">
      <c r="C28" s="160"/>
      <c r="D28" s="157" t="s">
        <v>8</v>
      </c>
      <c r="E28" s="67" t="s">
        <v>9</v>
      </c>
      <c r="F28" s="67">
        <f>COUNTIF(B3:H19,"*estel*")</f>
        <v>6</v>
      </c>
      <c r="G28" s="81">
        <f>392+150</f>
        <v>542</v>
      </c>
    </row>
    <row r="29" spans="2:8" ht="15">
      <c r="C29" s="160"/>
      <c r="D29" s="157" t="s">
        <v>263</v>
      </c>
      <c r="E29" s="150" t="s">
        <v>247</v>
      </c>
      <c r="F29" s="67">
        <f>COUNTIF(B4:H19,"*carlos*")</f>
        <v>31</v>
      </c>
      <c r="G29" s="81">
        <f>F29*25</f>
        <v>775</v>
      </c>
    </row>
    <row r="30" spans="2:8" ht="15">
      <c r="C30" s="160"/>
      <c r="D30" s="161" t="s">
        <v>16</v>
      </c>
      <c r="E30" s="67" t="s">
        <v>17</v>
      </c>
      <c r="F30" s="67">
        <f>COUNTIF(B4:H19,"*mario*")</f>
        <v>22</v>
      </c>
      <c r="G30" s="81">
        <v>1035</v>
      </c>
    </row>
    <row r="31" spans="2:8" ht="15">
      <c r="C31" s="160"/>
      <c r="D31" s="162" t="s">
        <v>276</v>
      </c>
      <c r="E31" s="152" t="s">
        <v>252</v>
      </c>
      <c r="F31" s="67">
        <f>COUNTIF(B3:H19,"*julia*")</f>
        <v>3</v>
      </c>
      <c r="G31" s="81">
        <f t="shared" ref="G31:G49" si="1">F31*25</f>
        <v>75</v>
      </c>
    </row>
    <row r="32" spans="2:8" ht="15">
      <c r="C32" s="160"/>
      <c r="D32" s="162" t="s">
        <v>277</v>
      </c>
      <c r="E32" s="164" t="s">
        <v>270</v>
      </c>
      <c r="F32" s="67">
        <f>COUNTIF(B4:H20,"*bruna*")</f>
        <v>4</v>
      </c>
      <c r="G32" s="81">
        <f t="shared" si="1"/>
        <v>100</v>
      </c>
    </row>
    <row r="33" spans="3:8" ht="15">
      <c r="C33" s="160"/>
      <c r="D33" s="167" t="s">
        <v>302</v>
      </c>
      <c r="E33" s="152" t="s">
        <v>244</v>
      </c>
      <c r="F33" s="67">
        <f>COUNTIF(B2:H19,"*richard*")</f>
        <v>11</v>
      </c>
      <c r="G33" s="81">
        <f t="shared" si="1"/>
        <v>275</v>
      </c>
    </row>
    <row r="34" spans="3:8" ht="15">
      <c r="C34" s="160"/>
      <c r="D34" s="162" t="s">
        <v>284</v>
      </c>
      <c r="E34" s="152" t="s">
        <v>240</v>
      </c>
      <c r="F34" s="67">
        <f>COUNTIF(B2:H19,"*Isaac*")</f>
        <v>8</v>
      </c>
      <c r="G34" s="81">
        <f t="shared" si="1"/>
        <v>200</v>
      </c>
    </row>
    <row r="35" spans="3:8" ht="14.25" customHeight="1">
      <c r="C35" s="160"/>
      <c r="D35" s="162" t="s">
        <v>161</v>
      </c>
      <c r="E35" s="152" t="s">
        <v>204</v>
      </c>
      <c r="F35" s="67">
        <f>COUNTIF(B2:H19,"*Mary*")</f>
        <v>18</v>
      </c>
      <c r="G35" s="81">
        <f t="shared" si="1"/>
        <v>450</v>
      </c>
    </row>
    <row r="36" spans="3:8" ht="15">
      <c r="C36" s="258" t="s">
        <v>214</v>
      </c>
      <c r="D36" s="258"/>
      <c r="E36" s="164" t="s">
        <v>253</v>
      </c>
      <c r="F36" s="67">
        <f>COUNTIF(B2:H19,"*John*")</f>
        <v>0</v>
      </c>
      <c r="G36">
        <f t="shared" si="1"/>
        <v>0</v>
      </c>
    </row>
    <row r="37" spans="3:8" ht="15" customHeight="1">
      <c r="C37" s="160"/>
      <c r="D37" s="162" t="s">
        <v>279</v>
      </c>
      <c r="E37" s="152" t="s">
        <v>246</v>
      </c>
      <c r="F37" s="67">
        <f>COUNTIF(B2:H19,"*Jota*")</f>
        <v>16</v>
      </c>
      <c r="G37" s="81">
        <f t="shared" si="1"/>
        <v>400</v>
      </c>
    </row>
    <row r="38" spans="3:8" ht="15">
      <c r="C38" s="278" t="s">
        <v>281</v>
      </c>
      <c r="D38" s="278"/>
      <c r="E38" s="152" t="s">
        <v>243</v>
      </c>
      <c r="F38" s="67">
        <f>COUNTIF(B2:H19,"*Marian*")</f>
        <v>11</v>
      </c>
      <c r="G38" s="81">
        <f>F38*18</f>
        <v>198</v>
      </c>
      <c r="H38" t="s">
        <v>296</v>
      </c>
    </row>
    <row r="39" spans="3:8" ht="15" customHeight="1">
      <c r="C39" s="160"/>
      <c r="D39" s="162" t="s">
        <v>301</v>
      </c>
      <c r="E39" s="165" t="s">
        <v>289</v>
      </c>
      <c r="F39" s="67">
        <f>COUNTIF(B2:H19,"*xavi*")</f>
        <v>4</v>
      </c>
      <c r="G39" s="81">
        <f>F39*25</f>
        <v>100</v>
      </c>
    </row>
    <row r="40" spans="3:8" ht="15">
      <c r="C40" s="160"/>
      <c r="D40" s="162" t="s">
        <v>282</v>
      </c>
      <c r="E40" s="152" t="s">
        <v>248</v>
      </c>
      <c r="F40" s="67">
        <f>COUNTIF(B2:H19,"*Montse*")</f>
        <v>12</v>
      </c>
      <c r="G40" s="81">
        <f t="shared" si="1"/>
        <v>300</v>
      </c>
    </row>
    <row r="41" spans="3:8" ht="14.25" customHeight="1">
      <c r="C41" s="258" t="s">
        <v>83</v>
      </c>
      <c r="D41" s="258"/>
      <c r="E41" s="152" t="s">
        <v>255</v>
      </c>
      <c r="F41" s="67">
        <f>COUNTIF(B2:H19,"*Raúl*")</f>
        <v>19</v>
      </c>
      <c r="G41" s="81">
        <v>419</v>
      </c>
    </row>
    <row r="42" spans="3:8" ht="15" customHeight="1">
      <c r="C42" s="160"/>
      <c r="D42" s="162" t="s">
        <v>280</v>
      </c>
      <c r="E42" s="152" t="s">
        <v>254</v>
      </c>
      <c r="F42" s="67">
        <f>COUNTIF(B2:H19,"*Noemi*")</f>
        <v>3</v>
      </c>
      <c r="G42" s="81">
        <f>F42*25</f>
        <v>75</v>
      </c>
    </row>
    <row r="43" spans="3:8" ht="15">
      <c r="C43" s="160"/>
      <c r="D43" s="162" t="s">
        <v>283</v>
      </c>
      <c r="E43" s="152" t="s">
        <v>239</v>
      </c>
      <c r="F43" s="67">
        <f>COUNTIF(B2:H19,"*Manuela*")</f>
        <v>3</v>
      </c>
      <c r="G43" s="81">
        <f t="shared" si="1"/>
        <v>75</v>
      </c>
    </row>
    <row r="44" spans="3:8" ht="15">
      <c r="C44" s="160"/>
      <c r="D44" s="163" t="s">
        <v>18</v>
      </c>
      <c r="E44" s="152" t="s">
        <v>245</v>
      </c>
      <c r="F44" s="67">
        <f>COUNTIF(B2:H19,"*Laura*")</f>
        <v>7</v>
      </c>
      <c r="G44" s="81">
        <f t="shared" si="1"/>
        <v>175</v>
      </c>
    </row>
    <row r="45" spans="3:8" ht="14.25" customHeight="1">
      <c r="C45" s="258" t="s">
        <v>95</v>
      </c>
      <c r="D45" s="258"/>
      <c r="E45" s="152" t="s">
        <v>90</v>
      </c>
      <c r="F45" s="67">
        <f>COUNTIF(C2:I18,"*Nuria*")</f>
        <v>8</v>
      </c>
      <c r="G45" s="81">
        <f t="shared" si="1"/>
        <v>200</v>
      </c>
    </row>
    <row r="46" spans="3:8" ht="15" customHeight="1">
      <c r="C46" s="259" t="s">
        <v>264</v>
      </c>
      <c r="D46" s="259"/>
      <c r="E46" s="152" t="s">
        <v>256</v>
      </c>
      <c r="F46" s="67">
        <f>COUNTIF(C2:I18,"*Alex*")</f>
        <v>7</v>
      </c>
      <c r="G46" s="81">
        <f t="shared" si="1"/>
        <v>175</v>
      </c>
    </row>
    <row r="47" spans="3:8" ht="15">
      <c r="C47" s="160"/>
      <c r="D47" s="162" t="s">
        <v>300</v>
      </c>
      <c r="E47" s="166" t="s">
        <v>297</v>
      </c>
      <c r="F47" s="67">
        <f>COUNTIF(B1:H18,"*arnau*")</f>
        <v>3</v>
      </c>
      <c r="G47" s="81">
        <f t="shared" si="1"/>
        <v>75</v>
      </c>
    </row>
    <row r="48" spans="3:8" ht="15">
      <c r="C48" s="160"/>
      <c r="D48" s="162" t="s">
        <v>168</v>
      </c>
      <c r="E48" s="152" t="s">
        <v>257</v>
      </c>
      <c r="F48" s="67">
        <f>COUNTIF(B2:H19,"*asencio*")</f>
        <v>4</v>
      </c>
      <c r="G48" s="81">
        <f t="shared" si="1"/>
        <v>100</v>
      </c>
    </row>
    <row r="49" spans="3:10" ht="15">
      <c r="C49" s="160"/>
      <c r="D49" s="163"/>
      <c r="E49" s="152" t="s">
        <v>185</v>
      </c>
      <c r="F49" s="67">
        <f>COUNTIF(B2:H19,"*Mateo*")</f>
        <v>0</v>
      </c>
      <c r="G49">
        <f t="shared" si="1"/>
        <v>0</v>
      </c>
    </row>
    <row r="50" spans="3:10" ht="15">
      <c r="C50" s="160"/>
      <c r="D50" s="163"/>
      <c r="E50" s="152" t="s">
        <v>258</v>
      </c>
      <c r="F50" s="67">
        <f>COUNTIF(B2:H19,"*Eric*")</f>
        <v>0</v>
      </c>
      <c r="G50" s="81">
        <v>816.19</v>
      </c>
    </row>
    <row r="51" spans="3:10" ht="15">
      <c r="C51" s="160"/>
      <c r="D51" s="163"/>
      <c r="E51" s="152" t="s">
        <v>259</v>
      </c>
      <c r="F51" s="67">
        <f>COUNTIF(B2:H19,"*Shamil*")</f>
        <v>0</v>
      </c>
      <c r="G51" s="81">
        <v>274</v>
      </c>
    </row>
    <row r="52" spans="3:10" ht="15">
      <c r="C52" s="160"/>
      <c r="D52" s="162" t="s">
        <v>278</v>
      </c>
      <c r="E52" s="152" t="s">
        <v>242</v>
      </c>
      <c r="F52" s="67">
        <f>COUNTIF(B2:H19,"*Salva*")</f>
        <v>18</v>
      </c>
      <c r="G52" s="81">
        <f>F52*25</f>
        <v>450</v>
      </c>
    </row>
    <row r="53" spans="3:10" ht="14.25" customHeight="1">
      <c r="C53" s="160"/>
      <c r="D53" s="162" t="s">
        <v>307</v>
      </c>
      <c r="E53" s="165" t="s">
        <v>290</v>
      </c>
      <c r="F53" s="67">
        <f>COUNTIF(B3:H20,"*torralba*")</f>
        <v>4</v>
      </c>
      <c r="G53" s="81">
        <f>F53*15</f>
        <v>60</v>
      </c>
      <c r="H53" t="s">
        <v>310</v>
      </c>
    </row>
    <row r="54" spans="3:10" ht="15" customHeight="1">
      <c r="C54" s="258" t="s">
        <v>237</v>
      </c>
      <c r="D54" s="258"/>
      <c r="E54" s="67" t="s">
        <v>26</v>
      </c>
      <c r="F54" s="67">
        <f>COUNTIF(B3:H19,"*Lolo*")</f>
        <v>8</v>
      </c>
      <c r="G54" s="81">
        <f>F54*25</f>
        <v>200</v>
      </c>
    </row>
    <row r="55" spans="3:10" ht="15">
      <c r="C55" s="258"/>
      <c r="D55" s="258"/>
      <c r="E55" s="153" t="s">
        <v>265</v>
      </c>
      <c r="F55" s="67">
        <f>COUNTIF(B4:H19,"*ishtar*")</f>
        <v>3</v>
      </c>
      <c r="G55">
        <f>F55*15</f>
        <v>45</v>
      </c>
    </row>
    <row r="56" spans="3:10">
      <c r="C56" s="256" t="s">
        <v>18</v>
      </c>
      <c r="D56" s="256"/>
      <c r="E56" s="153" t="s">
        <v>266</v>
      </c>
      <c r="F56" s="67">
        <f>COUNTIF(B3:H19,"*matias*")</f>
        <v>3</v>
      </c>
      <c r="G56" s="81">
        <f t="shared" ref="G56:G58" si="2">F56*15</f>
        <v>45</v>
      </c>
    </row>
    <row r="57" spans="3:10">
      <c r="C57" s="256"/>
      <c r="D57" s="256"/>
      <c r="E57" s="153" t="s">
        <v>267</v>
      </c>
      <c r="F57" s="67">
        <f>COUNTIF(B3:H19,"*amanda*")</f>
        <v>3</v>
      </c>
      <c r="G57">
        <f>F57*0</f>
        <v>0</v>
      </c>
    </row>
    <row r="58" spans="3:10">
      <c r="C58" s="257"/>
      <c r="D58" s="257"/>
      <c r="E58" s="168" t="s">
        <v>304</v>
      </c>
      <c r="F58" s="67">
        <f>COUNTIF(B4:H20,"*iria*")</f>
        <v>4</v>
      </c>
      <c r="G58">
        <f t="shared" si="2"/>
        <v>60</v>
      </c>
    </row>
    <row r="59" spans="3:10">
      <c r="D59" s="66"/>
      <c r="E59" s="152" t="s">
        <v>260</v>
      </c>
      <c r="F59" s="67"/>
      <c r="G59" s="81">
        <v>1975</v>
      </c>
    </row>
    <row r="60" spans="3:10">
      <c r="D60" s="77"/>
      <c r="E60" s="78" t="s">
        <v>28</v>
      </c>
      <c r="F60" s="77">
        <f>SUM(F28:F54)</f>
        <v>230</v>
      </c>
      <c r="G60">
        <f>SUM(G28:G59)</f>
        <v>9669.19</v>
      </c>
      <c r="I60" t="s">
        <v>271</v>
      </c>
      <c r="J60">
        <v>11811.5</v>
      </c>
    </row>
    <row r="61" spans="3:10">
      <c r="I61" t="s">
        <v>272</v>
      </c>
      <c r="J61">
        <v>6780</v>
      </c>
    </row>
    <row r="62" spans="3:10">
      <c r="I62" t="s">
        <v>303</v>
      </c>
      <c r="J62">
        <v>820</v>
      </c>
    </row>
    <row r="63" spans="3:10">
      <c r="J63" s="81">
        <f>SUM(J60:J62)</f>
        <v>19411.5</v>
      </c>
    </row>
  </sheetData>
  <mergeCells count="11">
    <mergeCell ref="C57:D57"/>
    <mergeCell ref="C58:D58"/>
    <mergeCell ref="E18:H19"/>
    <mergeCell ref="C41:D41"/>
    <mergeCell ref="C45:D45"/>
    <mergeCell ref="C46:D46"/>
    <mergeCell ref="C36:D36"/>
    <mergeCell ref="C38:D38"/>
    <mergeCell ref="C54:D54"/>
    <mergeCell ref="C55:D55"/>
    <mergeCell ref="C56:D56"/>
  </mergeCells>
  <phoneticPr fontId="78" type="noConversion"/>
  <conditionalFormatting sqref="B18:D18">
    <cfRule type="expression" dxfId="30" priority="1">
      <formula>AND(DAY(B18)&gt;=1,DAY(B18)&lt;=15)</formula>
    </cfRule>
  </conditionalFormatting>
  <conditionalFormatting sqref="B3:G3">
    <cfRule type="expression" dxfId="29" priority="4">
      <formula>DAY(B3)&gt;8</formula>
    </cfRule>
  </conditionalFormatting>
  <conditionalFormatting sqref="B15:H15">
    <cfRule type="expression" dxfId="28" priority="5">
      <formula>AND(DAY(B15)&gt;=1,DAY(B15)&lt;=15)</formula>
    </cfRule>
  </conditionalFormatting>
  <dataValidations count="9">
    <dataValidation allowBlank="1" showInputMessage="1" showErrorMessage="1" prompt="El día de la semana se determinará automáticamente" sqref="C2:H2" xr:uid="{00000000-0002-0000-0A00-000000000000}"/>
    <dataValidation allowBlank="1" showErrorMessage="1" prompt="El año de esta celda se actualiza automáticamente según el año especificado en la hoja de cálculo de Enero. El calendario siguiente incluye fechas de los meses anterior y posterior con un sombreado de fuente más claro." sqref="B1" xr:uid="{00000000-0002-0000-0A00-000001000000}"/>
    <dataValidation allowBlank="1" showInputMessage="1" showErrorMessage="1" prompt="Esta fila y las filas 5, 7, 9, 11 y 13 contienen días naturales de la semana. Si esta celda no contiene el número 1, se trata de un día del mes anterior. Escriba notas en la celda E13." sqref="B3" xr:uid="{00000000-0002-0000-0A00-000002000000}"/>
    <dataValidation allowBlank="1" showInputMessage="1" showErrorMessage="1" prompt="Esta fila contiene los nombres de los días laborables de este calendario. Esta celda contiene el día de inicio de la semana. Para cambiar el día de inicio, escriba un nuevo día laborable en la celda K4 de la hoja de cálculo Enero." sqref="B2" xr:uid="{00000000-0002-0000-0A00-000003000000}"/>
    <dataValidation allowBlank="1" showInputMessage="1" showErrorMessage="1" prompt="Calendario del mes de noviembre" sqref="A1" xr:uid="{00000000-0002-0000-0A00-000005000000}"/>
    <dataValidation allowBlank="1" showInputMessage="1" showErrorMessage="1" prompt="Escriba notas en la celda a la derecha." sqref="D18:D19" xr:uid="{00000000-0002-0000-0A00-000006000000}"/>
    <dataValidation allowBlank="1" showInputMessage="1" showErrorMessage="1" prompt="Escriba notas en esta celda." sqref="E18:H19" xr:uid="{00000000-0002-0000-0A00-000007000000}"/>
    <dataValidation allowBlank="1" showInputMessage="1" showErrorMessage="1" prompt="Las celdas de esta fila y las filas 6, 8, 10, 12 y 14 son para escribir notas diarias relacionadas con el día natural de la celda anterior." sqref="B4:B5" xr:uid="{00000000-0002-0000-0A00-000008000000}"/>
    <dataValidation allowBlank="1" showInputMessage="1" showErrorMessage="1" prompt="El año en esta celda se actualiza automáticamente. Seleccione otro año en la celda K3 de la hoja de cálculo Enero para cambiar el año" sqref="C1" xr:uid="{3A4E290F-6134-4539-A45D-9C6B0C71CC5F}"/>
  </dataValidations>
  <printOptions horizontalCentered="1" verticalCentered="1"/>
  <pageMargins left="0.7" right="0.7" top="0.75" bottom="0.75" header="0.3" footer="0.3"/>
  <pageSetup paperSize="9" scale="43" orientation="landscape" r:id="rId1"/>
  <headerFooter differentFirst="1">
    <oddFooter>Page &amp;P of &amp;N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tabColor theme="6" tint="-0.249977111117893"/>
    <pageSetUpPr fitToPage="1"/>
  </sheetPr>
  <dimension ref="B1:H61"/>
  <sheetViews>
    <sheetView showGridLines="0" topLeftCell="A18" zoomScale="90" zoomScaleNormal="90" workbookViewId="0">
      <selection activeCell="D28" sqref="C28:H62"/>
    </sheetView>
  </sheetViews>
  <sheetFormatPr baseColWidth="10" defaultColWidth="8.88671875" defaultRowHeight="14.25"/>
  <cols>
    <col min="1" max="1" width="2.77734375" customWidth="1"/>
    <col min="2" max="2" width="18.44140625" customWidth="1"/>
    <col min="3" max="3" width="18.33203125" style="88" customWidth="1"/>
    <col min="4" max="8" width="17.77734375" customWidth="1"/>
    <col min="9" max="9" width="2.77734375" customWidth="1"/>
  </cols>
  <sheetData>
    <row r="1" spans="2:8" ht="59.25" customHeight="1">
      <c r="B1" s="54" t="str">
        <f>"Diciembre "&amp;AñoCalendario</f>
        <v>Diciembre 2026</v>
      </c>
      <c r="C1" s="55"/>
      <c r="D1" s="55"/>
      <c r="E1" s="56"/>
      <c r="F1" s="56"/>
      <c r="G1" s="56"/>
      <c r="H1" s="57"/>
    </row>
    <row r="2" spans="2:8" ht="21.75" customHeight="1">
      <c r="B2" s="5" t="str">
        <f>IF(InicioDeSemana="DOMINGO", "DOMINGO","LUNES")</f>
        <v>LUNES</v>
      </c>
      <c r="C2" s="5" t="str">
        <f t="shared" ref="C2:H2" si="0">UPPER(TEXT(C3,"dddd"))</f>
        <v>MARTES</v>
      </c>
      <c r="D2" s="5" t="str">
        <f t="shared" si="0"/>
        <v>MIÉRCOLES</v>
      </c>
      <c r="E2" s="5" t="str">
        <f t="shared" si="0"/>
        <v>JUEVES</v>
      </c>
      <c r="F2" s="5" t="str">
        <f t="shared" si="0"/>
        <v>VIERNES</v>
      </c>
      <c r="G2" s="5" t="str">
        <f t="shared" si="0"/>
        <v>SÁBADO</v>
      </c>
      <c r="H2" s="5" t="str">
        <f t="shared" si="0"/>
        <v>DOMINGO</v>
      </c>
    </row>
    <row r="3" spans="2:8" ht="19.5" customHeight="1">
      <c r="B3" s="59">
        <f t="array" ref="B3:H3">DaysAndWeeks+DATE(AñoCalendario,12,1)-WEEKDAY(DATE(AñoCalendario,12,1),(InicioDeSemana="LUNES")+1)+1</f>
        <v>46356</v>
      </c>
      <c r="C3" s="59">
        <v>46357</v>
      </c>
      <c r="D3" s="59">
        <v>46358</v>
      </c>
      <c r="E3" s="59">
        <v>46359</v>
      </c>
      <c r="F3" s="59">
        <v>46360</v>
      </c>
      <c r="G3" s="59">
        <v>46361</v>
      </c>
      <c r="H3" s="59">
        <v>46362</v>
      </c>
    </row>
    <row r="4" spans="2:8" ht="99.75">
      <c r="B4" s="83" t="s">
        <v>313</v>
      </c>
      <c r="C4" s="83" t="s">
        <v>294</v>
      </c>
      <c r="D4" s="83" t="s">
        <v>287</v>
      </c>
      <c r="E4" s="83" t="s">
        <v>316</v>
      </c>
      <c r="F4" s="83" t="s">
        <v>308</v>
      </c>
      <c r="G4" s="89" t="s">
        <v>37</v>
      </c>
      <c r="H4" s="59"/>
    </row>
    <row r="5" spans="2:8" ht="60" customHeight="1">
      <c r="B5" s="96" t="s">
        <v>286</v>
      </c>
      <c r="C5" s="96" t="s">
        <v>17</v>
      </c>
      <c r="D5" s="96" t="s">
        <v>311</v>
      </c>
      <c r="E5" s="96" t="s">
        <v>312</v>
      </c>
      <c r="F5" s="96" t="s">
        <v>247</v>
      </c>
      <c r="G5" s="79"/>
      <c r="H5" s="79"/>
    </row>
    <row r="6" spans="2:8" ht="21.75" customHeight="1">
      <c r="B6" s="86">
        <f t="array" ref="B6:H6">DaysAndWeeks+DATE(AñoCalendario,12,1)-WEEKDAY(DATE(AñoCalendario,12,1),(InicioDeSemana="LUNES")+1)+8</f>
        <v>46363</v>
      </c>
      <c r="C6" s="86">
        <v>46364</v>
      </c>
      <c r="D6" s="86">
        <v>46365</v>
      </c>
      <c r="E6" s="86">
        <v>46366</v>
      </c>
      <c r="F6" s="86">
        <v>46367</v>
      </c>
      <c r="G6" s="86">
        <v>46368</v>
      </c>
      <c r="H6" s="86">
        <v>46369</v>
      </c>
    </row>
    <row r="7" spans="2:8" ht="79.5" customHeight="1">
      <c r="B7" s="83" t="s">
        <v>314</v>
      </c>
      <c r="C7" s="83" t="s">
        <v>294</v>
      </c>
      <c r="D7" s="83" t="s">
        <v>287</v>
      </c>
      <c r="E7" s="83" t="s">
        <v>317</v>
      </c>
      <c r="F7" s="83" t="s">
        <v>308</v>
      </c>
      <c r="G7" s="89" t="s">
        <v>268</v>
      </c>
      <c r="H7" s="60"/>
    </row>
    <row r="8" spans="2:8" ht="66.75" customHeight="1">
      <c r="B8" s="96"/>
      <c r="C8" s="96" t="s">
        <v>17</v>
      </c>
      <c r="D8" s="96" t="s">
        <v>311</v>
      </c>
      <c r="E8" s="96" t="s">
        <v>312</v>
      </c>
      <c r="F8" s="96" t="s">
        <v>247</v>
      </c>
      <c r="G8" s="79"/>
      <c r="H8" s="79"/>
    </row>
    <row r="9" spans="2:8" ht="20.25" customHeight="1">
      <c r="B9" s="87">
        <f t="array" ref="B9:H9">DaysAndWeeks+DATE(AñoCalendario,12,1)-WEEKDAY(DATE(AñoCalendario,12,1),(InicioDeSemana="LUNES")+1)+15</f>
        <v>46370</v>
      </c>
      <c r="C9" s="87">
        <v>46371</v>
      </c>
      <c r="D9" s="87">
        <v>46372</v>
      </c>
      <c r="E9" s="87">
        <v>46373</v>
      </c>
      <c r="F9" s="87">
        <v>46374</v>
      </c>
      <c r="G9" s="87">
        <v>46375</v>
      </c>
      <c r="H9" s="87">
        <v>46376</v>
      </c>
    </row>
    <row r="10" spans="2:8" ht="74.25" customHeight="1">
      <c r="B10" s="83" t="s">
        <v>328</v>
      </c>
      <c r="C10" s="83" t="s">
        <v>294</v>
      </c>
      <c r="D10" s="83" t="s">
        <v>327</v>
      </c>
      <c r="E10" s="83" t="s">
        <v>315</v>
      </c>
      <c r="F10" s="83" t="s">
        <v>329</v>
      </c>
      <c r="G10" s="89" t="s">
        <v>268</v>
      </c>
      <c r="H10" s="59"/>
    </row>
    <row r="11" spans="2:8" ht="69" customHeight="1">
      <c r="B11" s="96" t="s">
        <v>286</v>
      </c>
      <c r="C11" s="96" t="s">
        <v>17</v>
      </c>
      <c r="D11" s="96" t="s">
        <v>311</v>
      </c>
      <c r="E11" s="96" t="s">
        <v>312</v>
      </c>
      <c r="F11" s="96" t="s">
        <v>247</v>
      </c>
      <c r="G11" s="79"/>
      <c r="H11" s="79"/>
    </row>
    <row r="12" spans="2:8" ht="21.75" customHeight="1">
      <c r="B12" s="86">
        <f t="array" ref="B12:H12">DaysAndWeeks+DATE(AñoCalendario,12,1)-WEEKDAY(DATE(AñoCalendario,12,1),(InicioDeSemana="LUNES")+1)+22</f>
        <v>46377</v>
      </c>
      <c r="C12" s="86">
        <v>46378</v>
      </c>
      <c r="D12" s="86">
        <v>46379</v>
      </c>
      <c r="E12" s="86">
        <v>46380</v>
      </c>
      <c r="F12" s="86">
        <v>46381</v>
      </c>
      <c r="G12" s="86">
        <v>46382</v>
      </c>
      <c r="H12" s="86">
        <v>46383</v>
      </c>
    </row>
    <row r="13" spans="2:8" ht="80.25" customHeight="1">
      <c r="B13" s="83" t="s">
        <v>318</v>
      </c>
      <c r="C13" s="83" t="s">
        <v>320</v>
      </c>
      <c r="D13" s="83" t="s">
        <v>321</v>
      </c>
      <c r="E13" s="83" t="s">
        <v>326</v>
      </c>
      <c r="F13" s="83" t="s">
        <v>322</v>
      </c>
      <c r="G13" s="60"/>
      <c r="H13" s="60"/>
    </row>
    <row r="14" spans="2:8" ht="66" customHeight="1">
      <c r="B14" s="75"/>
      <c r="C14" s="75"/>
      <c r="D14" s="75"/>
      <c r="E14" s="75"/>
      <c r="F14" s="75"/>
      <c r="G14" s="75"/>
      <c r="H14" s="75"/>
    </row>
    <row r="15" spans="2:8" ht="18" customHeight="1">
      <c r="B15" s="87">
        <f t="array" ref="B15:H15">DaysAndWeeks+DATE(AñoCalendario,12,1)-WEEKDAY(DATE(AñoCalendario,12,1),(InicioDeSemana="LUNES")+1)+29</f>
        <v>46384</v>
      </c>
      <c r="C15" s="87">
        <v>46385</v>
      </c>
      <c r="D15" s="87">
        <v>46386</v>
      </c>
      <c r="E15" s="87">
        <v>46387</v>
      </c>
      <c r="F15" s="87">
        <v>46388</v>
      </c>
      <c r="G15" s="87">
        <v>46389</v>
      </c>
      <c r="H15" s="87">
        <v>46390</v>
      </c>
    </row>
    <row r="16" spans="2:8" ht="110.25" customHeight="1">
      <c r="B16" s="124" t="s">
        <v>323</v>
      </c>
      <c r="C16" s="124" t="s">
        <v>324</v>
      </c>
      <c r="D16" s="124" t="s">
        <v>325</v>
      </c>
      <c r="E16" s="59" t="s">
        <v>31</v>
      </c>
      <c r="F16" s="59" t="s">
        <v>31</v>
      </c>
      <c r="G16" s="59"/>
      <c r="H16" s="59"/>
    </row>
    <row r="17" spans="2:8">
      <c r="B17" s="79"/>
      <c r="C17" s="79"/>
      <c r="D17" s="79"/>
      <c r="E17" s="79"/>
      <c r="F17" s="79"/>
      <c r="G17" s="79"/>
      <c r="H17" s="79"/>
    </row>
    <row r="18" spans="2:8">
      <c r="B18" s="60">
        <f t="array" ref="B18:C18">DaysAndWeeks+DATE(AñoCalendario,12,1)-WEEKDAY(DATE(AñoCalendario,12,1),(InicioDeSemana="LUNES")+1)+36</f>
        <v>46391</v>
      </c>
      <c r="C18" s="60">
        <v>46392</v>
      </c>
      <c r="D18" s="63" t="s">
        <v>0</v>
      </c>
      <c r="E18" s="251"/>
      <c r="F18" s="251"/>
      <c r="G18" s="251"/>
      <c r="H18" s="252"/>
    </row>
    <row r="19" spans="2:8">
      <c r="B19" s="60"/>
      <c r="C19" s="60"/>
      <c r="D19" s="7"/>
      <c r="E19" s="253"/>
      <c r="F19" s="253"/>
      <c r="G19" s="253"/>
      <c r="H19" s="254"/>
    </row>
    <row r="27" spans="2:8">
      <c r="C27"/>
      <c r="H27" t="s">
        <v>32</v>
      </c>
    </row>
    <row r="28" spans="2:8">
      <c r="C28" s="158"/>
      <c r="D28" s="159"/>
      <c r="E28" s="67" t="s">
        <v>6</v>
      </c>
      <c r="F28" s="153" t="s">
        <v>269</v>
      </c>
    </row>
    <row r="29" spans="2:8" ht="15">
      <c r="C29" s="160"/>
      <c r="D29" s="157" t="s">
        <v>8</v>
      </c>
      <c r="E29" s="67" t="s">
        <v>9</v>
      </c>
      <c r="F29" s="67">
        <f>COUNTIF(B4:H20,"*estel*")</f>
        <v>6</v>
      </c>
      <c r="G29" s="81">
        <f>F29*25+346.03</f>
        <v>496.03</v>
      </c>
    </row>
    <row r="30" spans="2:8" ht="15">
      <c r="C30" s="160"/>
      <c r="D30" s="157" t="s">
        <v>263</v>
      </c>
      <c r="E30" s="150" t="s">
        <v>247</v>
      </c>
      <c r="F30" s="67">
        <f>COUNTIF(B4:H20,"*carlos*")</f>
        <v>31</v>
      </c>
      <c r="G30" s="81">
        <f>F30*25</f>
        <v>775</v>
      </c>
    </row>
    <row r="31" spans="2:8" ht="15">
      <c r="C31" s="160"/>
      <c r="D31" s="161" t="s">
        <v>16</v>
      </c>
      <c r="E31" s="67" t="s">
        <v>17</v>
      </c>
      <c r="F31" s="67">
        <f>COUNTIF(B4:H20,"*mario*")</f>
        <v>15</v>
      </c>
      <c r="G31">
        <v>1035</v>
      </c>
    </row>
    <row r="32" spans="2:8" ht="15">
      <c r="C32" s="160"/>
      <c r="D32" s="162" t="s">
        <v>276</v>
      </c>
      <c r="E32" s="152" t="s">
        <v>252</v>
      </c>
      <c r="F32" s="67">
        <f>COUNTIF(B4:H20,"*julia*")</f>
        <v>2</v>
      </c>
      <c r="G32" s="81">
        <f t="shared" ref="G32:G50" si="1">F32*25</f>
        <v>50</v>
      </c>
    </row>
    <row r="33" spans="3:7" ht="15">
      <c r="C33" s="160"/>
      <c r="D33" s="162" t="s">
        <v>277</v>
      </c>
      <c r="E33" s="164" t="s">
        <v>270</v>
      </c>
      <c r="F33" s="67">
        <f>COUNTIF(B4:H21,"*bruna*")</f>
        <v>3</v>
      </c>
      <c r="G33" s="81">
        <f t="shared" si="1"/>
        <v>75</v>
      </c>
    </row>
    <row r="34" spans="3:7" ht="15">
      <c r="C34" s="160"/>
      <c r="D34" s="167" t="s">
        <v>302</v>
      </c>
      <c r="E34" s="152" t="s">
        <v>244</v>
      </c>
      <c r="F34" s="67">
        <f>COUNTIF(B4:H20,"*richard*")</f>
        <v>9</v>
      </c>
      <c r="G34" s="81">
        <f t="shared" si="1"/>
        <v>225</v>
      </c>
    </row>
    <row r="35" spans="3:7" ht="15">
      <c r="C35" s="160"/>
      <c r="D35" s="162" t="s">
        <v>284</v>
      </c>
      <c r="E35" s="152" t="s">
        <v>240</v>
      </c>
      <c r="F35" s="67">
        <f>COUNTIF(B4:H20,"*Isaac*")</f>
        <v>5</v>
      </c>
      <c r="G35" s="81">
        <f t="shared" si="1"/>
        <v>125</v>
      </c>
    </row>
    <row r="36" spans="3:7" ht="14.25" customHeight="1">
      <c r="C36" s="160"/>
      <c r="D36" s="162" t="s">
        <v>161</v>
      </c>
      <c r="E36" s="152" t="s">
        <v>204</v>
      </c>
      <c r="F36" s="67">
        <f>COUNTIF(B4:H20,"*Mary*")</f>
        <v>14</v>
      </c>
      <c r="G36" s="81">
        <f>F36*25-28</f>
        <v>322</v>
      </c>
    </row>
    <row r="37" spans="3:7" ht="15">
      <c r="C37" s="258" t="s">
        <v>214</v>
      </c>
      <c r="D37" s="258"/>
      <c r="E37" s="164" t="s">
        <v>253</v>
      </c>
      <c r="F37" s="67">
        <f>COUNTIF(B3:H20,"*John*")</f>
        <v>0</v>
      </c>
      <c r="G37" s="81">
        <f t="shared" si="1"/>
        <v>0</v>
      </c>
    </row>
    <row r="38" spans="3:7" ht="15">
      <c r="C38" s="160"/>
      <c r="D38" s="162" t="s">
        <v>279</v>
      </c>
      <c r="E38" s="152" t="s">
        <v>246</v>
      </c>
      <c r="F38" s="67">
        <f>COUNTIF(B3:H20,"*Jota*")</f>
        <v>16</v>
      </c>
      <c r="G38" s="81">
        <f t="shared" si="1"/>
        <v>400</v>
      </c>
    </row>
    <row r="39" spans="3:7" ht="14.25" customHeight="1">
      <c r="C39" s="278" t="s">
        <v>281</v>
      </c>
      <c r="D39" s="278"/>
      <c r="E39" s="152" t="s">
        <v>243</v>
      </c>
      <c r="F39" s="67">
        <f>COUNTIF(B3:H20,"*Marian*")</f>
        <v>8</v>
      </c>
      <c r="G39" s="81">
        <f>F39*18</f>
        <v>144</v>
      </c>
    </row>
    <row r="40" spans="3:7" ht="19.5" customHeight="1">
      <c r="C40" s="160"/>
      <c r="D40" s="162" t="s">
        <v>301</v>
      </c>
      <c r="E40" s="165" t="s">
        <v>289</v>
      </c>
      <c r="F40" s="67">
        <f>COUNTIF(B3:H20,"*xavi*")</f>
        <v>2</v>
      </c>
      <c r="G40" s="81">
        <f>F40*25</f>
        <v>50</v>
      </c>
    </row>
    <row r="41" spans="3:7" ht="15">
      <c r="C41" s="160"/>
      <c r="D41" s="162" t="s">
        <v>282</v>
      </c>
      <c r="E41" s="152" t="s">
        <v>248</v>
      </c>
      <c r="F41" s="67">
        <f>COUNTIF(B3:H20,"*Montse*")</f>
        <v>10</v>
      </c>
      <c r="G41" s="81">
        <f t="shared" si="1"/>
        <v>250</v>
      </c>
    </row>
    <row r="42" spans="3:7" ht="14.25" customHeight="1">
      <c r="C42" s="258" t="s">
        <v>83</v>
      </c>
      <c r="D42" s="258"/>
      <c r="E42" s="152" t="s">
        <v>255</v>
      </c>
      <c r="F42" s="67">
        <f>COUNTIF(B3:H20,"*Raúl*")</f>
        <v>13</v>
      </c>
      <c r="G42" s="81">
        <f>F42*25-42</f>
        <v>283</v>
      </c>
    </row>
    <row r="43" spans="3:7" ht="15">
      <c r="C43" s="160"/>
      <c r="D43" s="162" t="s">
        <v>280</v>
      </c>
      <c r="E43" s="152" t="s">
        <v>254</v>
      </c>
      <c r="F43" s="67">
        <f>COUNTIF(B3:H20,"*Noemi*")</f>
        <v>3</v>
      </c>
      <c r="G43" s="81">
        <f>F43*25</f>
        <v>75</v>
      </c>
    </row>
    <row r="44" spans="3:7" ht="15">
      <c r="C44" s="160"/>
      <c r="D44" s="162" t="s">
        <v>283</v>
      </c>
      <c r="E44" s="152" t="s">
        <v>239</v>
      </c>
      <c r="F44" s="67">
        <f>COUNTIF(B3:H20,"*Manuela*")</f>
        <v>3</v>
      </c>
      <c r="G44" s="81">
        <f t="shared" si="1"/>
        <v>75</v>
      </c>
    </row>
    <row r="45" spans="3:7" ht="15">
      <c r="C45" s="160"/>
      <c r="D45" s="163" t="s">
        <v>18</v>
      </c>
      <c r="E45" s="152" t="s">
        <v>245</v>
      </c>
      <c r="F45" s="67">
        <f>COUNTIF(B3:H20,"*Laura*")</f>
        <v>3</v>
      </c>
      <c r="G45">
        <f t="shared" si="1"/>
        <v>75</v>
      </c>
    </row>
    <row r="46" spans="3:7" ht="14.25" customHeight="1">
      <c r="C46" s="258" t="s">
        <v>95</v>
      </c>
      <c r="D46" s="258"/>
      <c r="E46" s="152" t="s">
        <v>90</v>
      </c>
      <c r="F46" s="67">
        <f>COUNTIF(B3:I19,"*Nuria*")</f>
        <v>5</v>
      </c>
      <c r="G46" s="81">
        <f t="shared" si="1"/>
        <v>125</v>
      </c>
    </row>
    <row r="47" spans="3:7" ht="15">
      <c r="C47" s="259" t="s">
        <v>264</v>
      </c>
      <c r="D47" s="259"/>
      <c r="E47" s="152" t="s">
        <v>256</v>
      </c>
      <c r="F47" s="67">
        <f>COUNTIF(B3:I20,"*Alex*")</f>
        <v>5</v>
      </c>
      <c r="G47" s="81">
        <f t="shared" si="1"/>
        <v>125</v>
      </c>
    </row>
    <row r="48" spans="3:7" ht="15">
      <c r="C48" s="160"/>
      <c r="D48" s="162" t="s">
        <v>300</v>
      </c>
      <c r="E48" s="166" t="s">
        <v>297</v>
      </c>
      <c r="F48" s="67">
        <f>COUNTIF(B3:H19,"*arnau*")</f>
        <v>4</v>
      </c>
      <c r="G48" s="81">
        <f t="shared" si="1"/>
        <v>100</v>
      </c>
    </row>
    <row r="49" spans="3:7" ht="15">
      <c r="C49" s="160"/>
      <c r="D49" s="162" t="s">
        <v>168</v>
      </c>
      <c r="E49" s="152" t="s">
        <v>257</v>
      </c>
      <c r="F49" s="67">
        <f>COUNTIF(B3:H20,"*asencio*")</f>
        <v>2</v>
      </c>
      <c r="G49" s="81">
        <f t="shared" si="1"/>
        <v>50</v>
      </c>
    </row>
    <row r="50" spans="3:7" ht="15">
      <c r="C50" s="160"/>
      <c r="D50" s="163"/>
      <c r="E50" s="152" t="s">
        <v>185</v>
      </c>
      <c r="F50" s="67">
        <f>COUNTIF(B3:H20,"*Mateo*")</f>
        <v>0</v>
      </c>
      <c r="G50">
        <f t="shared" si="1"/>
        <v>0</v>
      </c>
    </row>
    <row r="51" spans="3:7" ht="15">
      <c r="C51" s="160"/>
      <c r="D51" s="163"/>
      <c r="E51" s="152" t="s">
        <v>258</v>
      </c>
      <c r="F51" s="67">
        <f>COUNTIF(B3:H20,"*Eric*")</f>
        <v>0</v>
      </c>
      <c r="G51">
        <v>689.91</v>
      </c>
    </row>
    <row r="52" spans="3:7" ht="15">
      <c r="C52" s="160"/>
      <c r="D52" s="163"/>
      <c r="E52" s="152" t="s">
        <v>259</v>
      </c>
      <c r="F52" s="67">
        <f>COUNTIF(B3:H20,"*Shamil*")</f>
        <v>0</v>
      </c>
      <c r="G52" s="81">
        <v>197.19</v>
      </c>
    </row>
    <row r="53" spans="3:7" ht="14.25" customHeight="1">
      <c r="C53" s="160"/>
      <c r="D53" s="162" t="s">
        <v>278</v>
      </c>
      <c r="E53" s="152" t="s">
        <v>242</v>
      </c>
      <c r="F53" s="67">
        <f>COUNTIF(B3:H20,"*Salva*")</f>
        <v>22</v>
      </c>
      <c r="G53" s="81">
        <f>F53*25</f>
        <v>550</v>
      </c>
    </row>
    <row r="54" spans="3:7" ht="15">
      <c r="C54" s="160"/>
      <c r="D54" s="162" t="s">
        <v>307</v>
      </c>
      <c r="E54" s="165" t="s">
        <v>290</v>
      </c>
      <c r="F54" s="67">
        <f>COUNTIF(B3:H20,"*torralba*")</f>
        <v>6</v>
      </c>
      <c r="G54" s="81">
        <f>F54*15</f>
        <v>90</v>
      </c>
    </row>
    <row r="55" spans="3:7" ht="15">
      <c r="C55" s="258" t="s">
        <v>237</v>
      </c>
      <c r="D55" s="258"/>
      <c r="E55" s="67" t="s">
        <v>26</v>
      </c>
      <c r="F55" s="67">
        <f>COUNTIF(B3:H20,"*Lolo*")</f>
        <v>5</v>
      </c>
      <c r="G55" s="81">
        <f>F55*25</f>
        <v>125</v>
      </c>
    </row>
    <row r="56" spans="3:7" ht="15">
      <c r="C56" s="258"/>
      <c r="D56" s="258"/>
      <c r="E56" s="153" t="s">
        <v>265</v>
      </c>
      <c r="F56" s="67">
        <f>COUNTIF(B3:H20,"*ishtar*")</f>
        <v>2</v>
      </c>
      <c r="G56">
        <f>F56*15</f>
        <v>30</v>
      </c>
    </row>
    <row r="57" spans="3:7">
      <c r="C57" s="256" t="s">
        <v>18</v>
      </c>
      <c r="D57" s="256"/>
      <c r="E57" s="153" t="s">
        <v>266</v>
      </c>
      <c r="F57" s="67">
        <f>COUNTIF(B3:H20,"*matias*")</f>
        <v>2</v>
      </c>
      <c r="G57">
        <f t="shared" ref="G57:G59" si="2">F57*15</f>
        <v>30</v>
      </c>
    </row>
    <row r="58" spans="3:7">
      <c r="C58" s="256"/>
      <c r="D58" s="256"/>
      <c r="E58" s="153" t="s">
        <v>267</v>
      </c>
      <c r="F58" s="67">
        <f>COUNTIF(B3:H20,"*amanda*")</f>
        <v>2</v>
      </c>
      <c r="G58">
        <f>F58*0</f>
        <v>0</v>
      </c>
    </row>
    <row r="59" spans="3:7">
      <c r="C59" s="257"/>
      <c r="D59" s="257"/>
      <c r="E59" s="153"/>
      <c r="F59" s="67"/>
      <c r="G59">
        <f t="shared" si="2"/>
        <v>0</v>
      </c>
    </row>
    <row r="60" spans="3:7">
      <c r="C60"/>
      <c r="D60" s="66"/>
      <c r="E60" s="152" t="s">
        <v>260</v>
      </c>
      <c r="F60" s="67"/>
      <c r="G60">
        <v>1716</v>
      </c>
    </row>
    <row r="61" spans="3:7">
      <c r="C61"/>
      <c r="D61" s="77"/>
      <c r="E61" s="78" t="s">
        <v>28</v>
      </c>
      <c r="F61" s="77">
        <f>SUM(F29:F55)</f>
        <v>192</v>
      </c>
      <c r="G61">
        <f>SUM(G29:G60)</f>
        <v>8283.1299999999992</v>
      </c>
    </row>
  </sheetData>
  <mergeCells count="11">
    <mergeCell ref="E18:H19"/>
    <mergeCell ref="C42:D42"/>
    <mergeCell ref="C46:D46"/>
    <mergeCell ref="C47:D47"/>
    <mergeCell ref="C37:D37"/>
    <mergeCell ref="C39:D39"/>
    <mergeCell ref="C58:D58"/>
    <mergeCell ref="C59:D59"/>
    <mergeCell ref="C55:D55"/>
    <mergeCell ref="C56:D56"/>
    <mergeCell ref="C57:D57"/>
  </mergeCells>
  <conditionalFormatting sqref="B3:G3">
    <cfRule type="expression" dxfId="27" priority="3">
      <formula>DAY(B3)&gt;8</formula>
    </cfRule>
  </conditionalFormatting>
  <conditionalFormatting sqref="B15:H16 B18:D18">
    <cfRule type="expression" dxfId="26" priority="1">
      <formula>AND(DAY(B15)&gt;=1,DAY(B15)&lt;=15)</formula>
    </cfRule>
  </conditionalFormatting>
  <dataValidations count="9">
    <dataValidation allowBlank="1" showInputMessage="1" showErrorMessage="1" prompt="El día de la semana se determinará automáticamente" sqref="C2:H2" xr:uid="{00000000-0002-0000-0B00-000000000000}"/>
    <dataValidation allowBlank="1" showErrorMessage="1" prompt="El año de esta celda se actualiza automáticamente según el año especificado en la hoja de cálculo de Enero. El calendario siguiente incluye fechas de los meses anterior y posterior con un sombreado de fuente más claro." sqref="B1" xr:uid="{00000000-0002-0000-0B00-000001000000}"/>
    <dataValidation allowBlank="1" showInputMessage="1" showErrorMessage="1" prompt="Esta fila y las filas 5, 7, 9, 11 y 13 contienen días naturales de la semana. Si esta celda no contiene el número 1, se trata de un día del mes anterior. Escriba notas en la celda E13." sqref="B3" xr:uid="{00000000-0002-0000-0B00-000002000000}"/>
    <dataValidation allowBlank="1" showInputMessage="1" showErrorMessage="1" prompt="Esta fila contiene los nombres de los días laborables de este calendario. Esta celda contiene el día de inicio de la semana. Para cambiar el día de inicio, escriba un nuevo día laborable en la celda K4 de la hoja de cálculo Enero." sqref="B2" xr:uid="{00000000-0002-0000-0B00-000003000000}"/>
    <dataValidation allowBlank="1" showInputMessage="1" showErrorMessage="1" prompt="Calendario del mes de diciembre" sqref="A1" xr:uid="{00000000-0002-0000-0B00-000005000000}"/>
    <dataValidation allowBlank="1" showInputMessage="1" showErrorMessage="1" prompt="Escriba notas en la celda a la derecha." sqref="D18:D19" xr:uid="{00000000-0002-0000-0B00-000006000000}"/>
    <dataValidation allowBlank="1" showInputMessage="1" showErrorMessage="1" prompt="Escriba notas en esta celda." sqref="E18:H19" xr:uid="{00000000-0002-0000-0B00-000007000000}"/>
    <dataValidation allowBlank="1" showInputMessage="1" showErrorMessage="1" prompt="Las celdas de esta fila y las filas 6, 8, 10, 12 y 14 son para escribir notas diarias relacionadas con el día natural de la celda anterior." sqref="B5 B8 B11" xr:uid="{00000000-0002-0000-0B00-000008000000}"/>
    <dataValidation allowBlank="1" showInputMessage="1" showErrorMessage="1" prompt="El año en esta celda se actualiza automáticamente. Seleccione otro año en la celda K3 de la hoja de cálculo Enero para cambiar el año" sqref="C1" xr:uid="{0ED9C6F5-D117-4D38-BF48-93FAA0D1B91E}"/>
  </dataValidations>
  <printOptions horizontalCentered="1" verticalCentered="1"/>
  <pageMargins left="0.7" right="0.7" top="0.75" bottom="0.75" header="0.3" footer="0.3"/>
  <pageSetup paperSize="9" scale="55" orientation="portrait" r:id="rId1"/>
  <headerFooter differentFirst="1">
    <oddFooter>Page &amp;P of &amp;N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8C99D-D084-4B15-87A5-DC883DA75FB0}">
  <sheetPr>
    <tabColor theme="6"/>
    <pageSetUpPr autoPageBreaks="0" fitToPage="1"/>
  </sheetPr>
  <dimension ref="A1:K47"/>
  <sheetViews>
    <sheetView showGridLines="0" topLeftCell="A16" zoomScale="90" zoomScaleNormal="90" workbookViewId="0">
      <selection activeCell="F28" sqref="F28"/>
    </sheetView>
  </sheetViews>
  <sheetFormatPr baseColWidth="10" defaultColWidth="8.88671875" defaultRowHeight="14.25"/>
  <cols>
    <col min="1" max="1" width="2.77734375" customWidth="1"/>
    <col min="2" max="2" width="18.44140625" customWidth="1"/>
    <col min="3" max="8" width="17.77734375" customWidth="1"/>
    <col min="9" max="9" width="2.77734375" customWidth="1"/>
    <col min="10" max="10" width="17.77734375" customWidth="1"/>
    <col min="11" max="11" width="13.77734375" customWidth="1"/>
  </cols>
  <sheetData>
    <row r="1" spans="1:11" s="1" customFormat="1" ht="60" customHeight="1">
      <c r="A1"/>
      <c r="B1" s="13" t="str">
        <f>"Enero "&amp;Acalendario</f>
        <v>Enero 2024</v>
      </c>
      <c r="C1" s="14"/>
      <c r="D1" s="14"/>
      <c r="E1" s="15"/>
      <c r="F1" s="15"/>
      <c r="G1" s="15"/>
      <c r="H1" s="16"/>
    </row>
    <row r="2" spans="1:11" s="2" customFormat="1" ht="21.75" customHeight="1">
      <c r="A2"/>
      <c r="B2" s="5" t="str">
        <f>IF(InicioDeSemana="DOMINGO", "DOMINGO","LUNES")</f>
        <v>LUNES</v>
      </c>
      <c r="C2" s="5" t="str">
        <f t="shared" ref="C2:H2" si="0">UPPER(TEXT(C3,"dddd"))</f>
        <v>MARTES</v>
      </c>
      <c r="D2" s="5" t="str">
        <f>UPPER(TEXT(D3,"dddd"))</f>
        <v>MIÉRCOLES</v>
      </c>
      <c r="E2" s="5" t="str">
        <f t="shared" si="0"/>
        <v>JUEVES</v>
      </c>
      <c r="F2" s="5" t="str">
        <f t="shared" si="0"/>
        <v>VIERNES</v>
      </c>
      <c r="G2" s="5" t="str">
        <f t="shared" si="0"/>
        <v>SÁBADO</v>
      </c>
      <c r="H2" s="5" t="str">
        <f t="shared" si="0"/>
        <v>DOMINGO</v>
      </c>
      <c r="J2" s="255" t="s">
        <v>1</v>
      </c>
      <c r="K2" s="255"/>
    </row>
    <row r="3" spans="1:11" s="3" customFormat="1" ht="19.5" customHeight="1">
      <c r="A3"/>
      <c r="B3" s="59">
        <f t="array" ref="B3:H3">DaysAndWeeks+DATE(Acalendario,1,1)-WEEKDAY(DATE(Acalendario,1,1),(InicioDeSemana="LUNES")+1)+1</f>
        <v>45292</v>
      </c>
      <c r="C3" s="59">
        <v>45293</v>
      </c>
      <c r="D3" s="59">
        <v>45294</v>
      </c>
      <c r="E3" s="59">
        <v>45295</v>
      </c>
      <c r="F3" s="59">
        <v>45296</v>
      </c>
      <c r="G3" s="59">
        <v>45297</v>
      </c>
      <c r="H3" s="59">
        <v>45298</v>
      </c>
      <c r="J3" s="6" t="s">
        <v>2</v>
      </c>
      <c r="K3" s="8">
        <v>2024</v>
      </c>
    </row>
    <row r="4" spans="1:11" ht="57.95" customHeight="1">
      <c r="B4" s="82" t="s">
        <v>31</v>
      </c>
      <c r="C4" s="82" t="s">
        <v>31</v>
      </c>
      <c r="D4" s="82" t="s">
        <v>31</v>
      </c>
      <c r="E4" s="82" t="s">
        <v>31</v>
      </c>
      <c r="F4" s="82" t="s">
        <v>31</v>
      </c>
      <c r="G4" s="82" t="s">
        <v>31</v>
      </c>
      <c r="H4" s="82"/>
      <c r="J4" s="9" t="s">
        <v>3</v>
      </c>
      <c r="K4" s="10" t="s">
        <v>4</v>
      </c>
    </row>
    <row r="5" spans="1:11" s="3" customFormat="1" ht="18.75" customHeight="1">
      <c r="A5"/>
      <c r="B5" s="60">
        <f t="array" ref="B5:H5">DaysAndWeeks+DATE(Acalendario,1,1)-WEEKDAY(DATE(Acalendario,1,1),(InicioDeSemana="LUNES")+1)+8</f>
        <v>45299</v>
      </c>
      <c r="C5" s="60">
        <v>45300</v>
      </c>
      <c r="D5" s="60">
        <v>45301</v>
      </c>
      <c r="E5" s="60">
        <v>45302</v>
      </c>
      <c r="F5" s="60">
        <v>45303</v>
      </c>
      <c r="G5" s="60">
        <v>45304</v>
      </c>
      <c r="H5" s="60">
        <v>45305</v>
      </c>
    </row>
    <row r="6" spans="1:11" ht="57.95" customHeight="1">
      <c r="B6" s="83" t="s">
        <v>48</v>
      </c>
      <c r="C6" s="60" t="s">
        <v>61</v>
      </c>
      <c r="D6" s="89" t="s">
        <v>49</v>
      </c>
      <c r="E6" s="90" t="s">
        <v>46</v>
      </c>
      <c r="F6" s="83" t="s">
        <v>57</v>
      </c>
      <c r="G6" s="92" t="s">
        <v>54</v>
      </c>
      <c r="H6" s="61"/>
      <c r="J6" s="4"/>
    </row>
    <row r="7" spans="1:11" ht="57.95" customHeight="1">
      <c r="B7" s="96" t="s">
        <v>29</v>
      </c>
      <c r="C7" s="96" t="s">
        <v>27</v>
      </c>
      <c r="D7" s="96" t="s">
        <v>39</v>
      </c>
      <c r="E7" s="96" t="s">
        <v>30</v>
      </c>
      <c r="F7" s="96" t="s">
        <v>40</v>
      </c>
      <c r="G7" s="94"/>
      <c r="H7" s="95"/>
      <c r="J7" s="4"/>
    </row>
    <row r="8" spans="1:11" s="3" customFormat="1" ht="19.5" customHeight="1">
      <c r="A8"/>
      <c r="B8" s="93">
        <f t="array" ref="B8:H8">DaysAndWeeks+DATE(Acalendario,1,1)-WEEKDAY(DATE(Acalendario,1,1),(InicioDeSemana="LUNES")+1)+15</f>
        <v>45306</v>
      </c>
      <c r="C8" s="93">
        <v>45307</v>
      </c>
      <c r="D8" s="93">
        <v>45308</v>
      </c>
      <c r="E8" s="93">
        <v>45309</v>
      </c>
      <c r="F8" s="93">
        <v>45310</v>
      </c>
      <c r="G8" s="93">
        <v>45311</v>
      </c>
      <c r="H8" s="93">
        <v>45312</v>
      </c>
      <c r="J8" s="4"/>
    </row>
    <row r="9" spans="1:11" ht="57.95" customHeight="1">
      <c r="B9" s="83" t="s">
        <v>63</v>
      </c>
      <c r="C9" s="60" t="s">
        <v>61</v>
      </c>
      <c r="D9" s="89" t="s">
        <v>50</v>
      </c>
      <c r="E9" s="90" t="s">
        <v>46</v>
      </c>
      <c r="F9" s="83" t="s">
        <v>57</v>
      </c>
      <c r="G9" s="82" t="s">
        <v>53</v>
      </c>
      <c r="H9" s="59"/>
    </row>
    <row r="10" spans="1:11" ht="57.95" customHeight="1">
      <c r="B10" s="96" t="s">
        <v>29</v>
      </c>
      <c r="C10" s="96" t="s">
        <v>27</v>
      </c>
      <c r="D10" s="96" t="s">
        <v>39</v>
      </c>
      <c r="E10" s="96" t="s">
        <v>30</v>
      </c>
      <c r="F10" s="96" t="s">
        <v>45</v>
      </c>
      <c r="G10" s="96"/>
      <c r="H10" s="79"/>
    </row>
    <row r="11" spans="1:11" s="3" customFormat="1" ht="19.5" customHeight="1">
      <c r="A11"/>
      <c r="B11" s="60">
        <f t="array" ref="B11:H11">DaysAndWeeks+DATE(Acalendario,1,1)-WEEKDAY(DATE(Acalendario,1,1),(InicioDeSemana="LUNES")+1)+22</f>
        <v>45313</v>
      </c>
      <c r="C11" s="60">
        <v>45314</v>
      </c>
      <c r="D11" s="60">
        <v>45315</v>
      </c>
      <c r="E11" s="60">
        <v>45316</v>
      </c>
      <c r="F11" s="60">
        <v>45317</v>
      </c>
      <c r="G11" s="60">
        <v>45318</v>
      </c>
      <c r="H11" s="60">
        <v>45319</v>
      </c>
    </row>
    <row r="12" spans="1:11" ht="57.95" customHeight="1">
      <c r="B12" s="83" t="s">
        <v>63</v>
      </c>
      <c r="C12" s="60" t="s">
        <v>61</v>
      </c>
      <c r="D12" s="89" t="s">
        <v>50</v>
      </c>
      <c r="E12" s="90" t="s">
        <v>46</v>
      </c>
      <c r="F12" s="83" t="s">
        <v>58</v>
      </c>
      <c r="G12" s="80" t="s">
        <v>52</v>
      </c>
      <c r="H12" s="60"/>
    </row>
    <row r="13" spans="1:11" ht="57.95" customHeight="1">
      <c r="B13" s="96" t="s">
        <v>29</v>
      </c>
      <c r="C13" s="96" t="s">
        <v>27</v>
      </c>
      <c r="D13" s="96" t="s">
        <v>39</v>
      </c>
      <c r="E13" s="97" t="s">
        <v>30</v>
      </c>
      <c r="F13" s="97" t="s">
        <v>40</v>
      </c>
      <c r="G13" s="97"/>
      <c r="H13" s="75"/>
    </row>
    <row r="14" spans="1:11" s="3" customFormat="1" ht="19.5" customHeight="1">
      <c r="A14"/>
      <c r="B14" s="59">
        <f t="array" ref="B14:H14">DaysAndWeeks+DATE(Acalendario,1,1)-WEEKDAY(DATE(Acalendario,1,1),(InicioDeSemana="LUNES")+1)+29</f>
        <v>45320</v>
      </c>
      <c r="C14" s="59">
        <v>45321</v>
      </c>
      <c r="D14" s="59">
        <v>45322</v>
      </c>
      <c r="E14" s="59">
        <v>45323</v>
      </c>
      <c r="F14" s="59">
        <v>45324</v>
      </c>
      <c r="G14" s="59">
        <v>45325</v>
      </c>
      <c r="H14" s="59">
        <v>45326</v>
      </c>
    </row>
    <row r="15" spans="1:11" ht="57.95" customHeight="1">
      <c r="B15" s="101" t="s">
        <v>64</v>
      </c>
      <c r="C15" s="60" t="s">
        <v>62</v>
      </c>
      <c r="D15" s="89" t="s">
        <v>51</v>
      </c>
      <c r="E15" s="59"/>
      <c r="F15" s="59"/>
      <c r="G15" s="59"/>
      <c r="H15" s="59"/>
    </row>
    <row r="16" spans="1:11" ht="57.95" customHeight="1">
      <c r="B16" s="96" t="s">
        <v>29</v>
      </c>
      <c r="C16" s="96" t="s">
        <v>27</v>
      </c>
      <c r="D16" s="96" t="s">
        <v>39</v>
      </c>
      <c r="E16" s="59"/>
      <c r="F16" s="59"/>
      <c r="G16" s="59"/>
      <c r="H16" s="59"/>
    </row>
    <row r="17" spans="1:8" s="3" customFormat="1" ht="19.5" customHeight="1">
      <c r="A17"/>
      <c r="B17" s="60">
        <f t="array" ref="B17:C17">DaysAndWeeks+DATE(Acalendario,1,1)-WEEKDAY(DATE(Acalendario,1,1),(InicioDeSemana="LUNES")+1)+36</f>
        <v>45327</v>
      </c>
      <c r="C17" s="60">
        <v>45328</v>
      </c>
      <c r="D17" s="63" t="s">
        <v>0</v>
      </c>
      <c r="E17" s="251"/>
      <c r="F17" s="251"/>
      <c r="G17" s="251"/>
      <c r="H17" s="252"/>
    </row>
    <row r="18" spans="1:8" ht="57.95" customHeight="1">
      <c r="B18" s="60"/>
      <c r="C18" s="60"/>
      <c r="D18" s="7"/>
      <c r="E18" s="253"/>
      <c r="F18" s="253"/>
      <c r="G18" s="253"/>
      <c r="H18" s="254"/>
    </row>
    <row r="26" spans="1:8">
      <c r="D26" s="66"/>
      <c r="E26" s="67" t="s">
        <v>6</v>
      </c>
      <c r="F26" s="102" t="s">
        <v>56</v>
      </c>
    </row>
    <row r="27" spans="1:8">
      <c r="D27" s="103" t="s">
        <v>8</v>
      </c>
      <c r="E27" s="67" t="s">
        <v>9</v>
      </c>
      <c r="F27" s="67">
        <f>COUNTIF((B3:G15),"*estel*")</f>
        <v>8</v>
      </c>
      <c r="G27" s="81">
        <f>F27*18</f>
        <v>144</v>
      </c>
    </row>
    <row r="28" spans="1:8">
      <c r="D28" s="68" t="s">
        <v>10</v>
      </c>
      <c r="E28" s="67" t="s">
        <v>11</v>
      </c>
      <c r="F28" s="67">
        <f>COUNTIF((B3:G15),"*pau*")</f>
        <v>2</v>
      </c>
      <c r="G28" s="81">
        <f>F28*25</f>
        <v>50</v>
      </c>
    </row>
    <row r="29" spans="1:8">
      <c r="D29" s="68" t="s">
        <v>12</v>
      </c>
      <c r="E29" s="67" t="s">
        <v>13</v>
      </c>
      <c r="F29" s="67">
        <f>COUNTIF((B3:G16),"*bernat*")</f>
        <v>24</v>
      </c>
      <c r="G29" s="81">
        <f>F29*20</f>
        <v>480</v>
      </c>
    </row>
    <row r="30" spans="1:8">
      <c r="D30" s="103" t="s">
        <v>14</v>
      </c>
      <c r="E30" s="67" t="s">
        <v>15</v>
      </c>
      <c r="F30" s="67">
        <f>COUNTIF((B3:G15),"*pati*")</f>
        <v>3</v>
      </c>
      <c r="G30" s="81">
        <f>F30*18</f>
        <v>54</v>
      </c>
    </row>
    <row r="31" spans="1:8">
      <c r="D31" s="68" t="s">
        <v>16</v>
      </c>
      <c r="E31" s="67" t="s">
        <v>17</v>
      </c>
      <c r="F31" s="67">
        <f>COUNTIF((B3:G16),"*mario*")</f>
        <v>28</v>
      </c>
      <c r="G31" s="81">
        <f>F31*20</f>
        <v>560</v>
      </c>
    </row>
    <row r="32" spans="1:8">
      <c r="C32" s="88"/>
      <c r="D32" s="114" t="s">
        <v>60</v>
      </c>
      <c r="E32" s="84" t="s">
        <v>35</v>
      </c>
      <c r="F32" s="67">
        <f>COUNTIF((B3:G15),"*sofia*")</f>
        <v>7</v>
      </c>
      <c r="G32" s="81">
        <f>F32*15</f>
        <v>105</v>
      </c>
    </row>
    <row r="33" spans="3:8">
      <c r="C33" s="88"/>
      <c r="D33" s="66" t="s">
        <v>18</v>
      </c>
      <c r="E33" s="67" t="s">
        <v>19</v>
      </c>
      <c r="F33" s="67">
        <f>COUNTIF((B3:G15),"*hector*")</f>
        <v>11</v>
      </c>
      <c r="G33" s="81">
        <f>F33*10</f>
        <v>110</v>
      </c>
    </row>
    <row r="34" spans="3:8">
      <c r="C34" s="88"/>
      <c r="D34" s="66" t="s">
        <v>18</v>
      </c>
      <c r="E34" s="67" t="s">
        <v>25</v>
      </c>
      <c r="F34" s="67">
        <f>COUNTIF((B3:G15),"*cristina*")</f>
        <v>6</v>
      </c>
      <c r="G34" s="81">
        <f>F34*10</f>
        <v>60</v>
      </c>
    </row>
    <row r="35" spans="3:8">
      <c r="C35" s="88"/>
      <c r="D35" s="66" t="s">
        <v>18</v>
      </c>
      <c r="E35" s="67" t="s">
        <v>20</v>
      </c>
      <c r="F35" s="67">
        <f>COUNTIF((B3:G15),"*zaro*")</f>
        <v>18</v>
      </c>
      <c r="G35" s="81">
        <f t="shared" ref="G35:G44" si="1">F35*18</f>
        <v>324</v>
      </c>
    </row>
    <row r="36" spans="3:8">
      <c r="C36" s="88"/>
      <c r="D36" s="104" t="s">
        <v>59</v>
      </c>
      <c r="E36" s="67" t="s">
        <v>21</v>
      </c>
      <c r="F36" s="67">
        <f>COUNTIF((B3:G15),"*nico*")</f>
        <v>12</v>
      </c>
      <c r="G36" s="81">
        <f>F36*15</f>
        <v>180</v>
      </c>
    </row>
    <row r="37" spans="3:8">
      <c r="C37" s="88"/>
      <c r="D37" s="66" t="s">
        <v>18</v>
      </c>
      <c r="E37" s="67" t="s">
        <v>26</v>
      </c>
      <c r="F37" s="67">
        <f>COUNTIF((B3:G15),"*carla*")</f>
        <v>3</v>
      </c>
      <c r="G37" s="81">
        <f>F37*10</f>
        <v>30</v>
      </c>
    </row>
    <row r="38" spans="3:8">
      <c r="C38" s="279" t="s">
        <v>38</v>
      </c>
      <c r="D38" s="279"/>
      <c r="E38" s="69" t="s">
        <v>22</v>
      </c>
      <c r="F38" s="67">
        <f>COUNTIF((B3:G15),"*marc*")</f>
        <v>15</v>
      </c>
      <c r="G38" s="81">
        <f t="shared" si="1"/>
        <v>270</v>
      </c>
    </row>
    <row r="39" spans="3:8">
      <c r="C39" s="280" t="s">
        <v>33</v>
      </c>
      <c r="D39" s="281"/>
      <c r="E39" s="73" t="s">
        <v>23</v>
      </c>
      <c r="F39" s="67">
        <f>COUNTIF((B3:G15),"*candela*")</f>
        <v>21</v>
      </c>
      <c r="G39" s="81">
        <f t="shared" si="1"/>
        <v>378</v>
      </c>
    </row>
    <row r="40" spans="3:8">
      <c r="C40" s="88"/>
      <c r="D40" s="66" t="s">
        <v>18</v>
      </c>
      <c r="E40" s="69" t="s">
        <v>24</v>
      </c>
      <c r="F40" s="67">
        <f>COUNTIF((B3:G15),"*ana*")</f>
        <v>22</v>
      </c>
      <c r="G40" s="81">
        <f t="shared" si="1"/>
        <v>396</v>
      </c>
    </row>
    <row r="41" spans="3:8">
      <c r="C41" s="88"/>
      <c r="D41" s="66" t="s">
        <v>18</v>
      </c>
      <c r="E41" s="85" t="s">
        <v>36</v>
      </c>
      <c r="F41" s="67">
        <f>COUNTIF((B3:G15),"*raul*")</f>
        <v>12</v>
      </c>
      <c r="G41" s="81">
        <f>F41*15</f>
        <v>180</v>
      </c>
    </row>
    <row r="42" spans="3:8">
      <c r="C42" s="88"/>
      <c r="D42" s="99" t="s">
        <v>18</v>
      </c>
      <c r="E42" s="100" t="s">
        <v>47</v>
      </c>
      <c r="F42" s="67">
        <f>COUNTIF((B3:G15),"*miriam*")</f>
        <v>8</v>
      </c>
      <c r="G42" s="81">
        <f>F42*12</f>
        <v>96</v>
      </c>
    </row>
    <row r="43" spans="3:8">
      <c r="C43" s="88"/>
      <c r="D43" s="103" t="s">
        <v>44</v>
      </c>
      <c r="E43" s="98" t="s">
        <v>43</v>
      </c>
      <c r="F43" s="67">
        <f>COUNTIF((B3:G15),"*noelia*")</f>
        <v>4</v>
      </c>
      <c r="G43" s="81">
        <v>361.4</v>
      </c>
    </row>
    <row r="44" spans="3:8">
      <c r="C44" s="88"/>
      <c r="D44" s="103" t="s">
        <v>42</v>
      </c>
      <c r="E44" s="98" t="s">
        <v>41</v>
      </c>
      <c r="F44" s="67">
        <f>COUNTIF((B3:G15),"*maria*")</f>
        <v>15</v>
      </c>
      <c r="G44" s="81">
        <f t="shared" si="1"/>
        <v>270</v>
      </c>
      <c r="H44">
        <v>21</v>
      </c>
    </row>
    <row r="45" spans="3:8">
      <c r="C45" s="88"/>
      <c r="D45" s="77"/>
      <c r="E45" s="78" t="s">
        <v>28</v>
      </c>
      <c r="F45" s="77">
        <f>SUM(F27:F44)</f>
        <v>219</v>
      </c>
      <c r="G45" s="77">
        <f>SUM(G27:G44)</f>
        <v>4048.4</v>
      </c>
    </row>
    <row r="46" spans="3:8">
      <c r="C46" s="88"/>
    </row>
    <row r="47" spans="3:8">
      <c r="C47" s="88"/>
    </row>
  </sheetData>
  <mergeCells count="4">
    <mergeCell ref="J2:K2"/>
    <mergeCell ref="E17:H18"/>
    <mergeCell ref="C38:D38"/>
    <mergeCell ref="C39:D39"/>
  </mergeCells>
  <conditionalFormatting sqref="B17:D17">
    <cfRule type="expression" dxfId="25" priority="1">
      <formula>AND(DAY(B17)&gt;=1,DAY(B17)&lt;=15)</formula>
    </cfRule>
  </conditionalFormatting>
  <conditionalFormatting sqref="B3:G3">
    <cfRule type="expression" dxfId="24" priority="2">
      <formula>DAY(B3)&gt;8</formula>
    </cfRule>
  </conditionalFormatting>
  <conditionalFormatting sqref="B14:H14">
    <cfRule type="expression" dxfId="23" priority="3">
      <formula>AND(DAY(B14)&gt;=1,DAY(B14)&lt;=15)</formula>
    </cfRule>
  </conditionalFormatting>
  <dataValidations count="14">
    <dataValidation allowBlank="1" showInputMessage="1" showErrorMessage="1" prompt="Esta fila y las filas 5, 7, 9, 11 y 13 contienen días naturales de la semana. Si esta celda no contiene el número 1, se trata de un día del mes anterior. Escriba notas en la celda E13." sqref="B3" xr:uid="{0AB24867-7AA6-4516-849B-A70BD4E01DAC}"/>
    <dataValidation allowBlank="1" showInputMessage="1" showErrorMessage="1" prompt="El año en esta celda se actualiza automáticamente. Seleccione otro año en la celda K3 para cambiar el año" sqref="C1" xr:uid="{7F137695-D52F-4ECD-9948-BF036C1DE1C1}"/>
    <dataValidation allowBlank="1" showInputMessage="1" showErrorMessage="1" prompt="Escriba notas en la celda a la derecha." sqref="D17:D18" xr:uid="{313CE891-AD0E-48F3-9643-86AB4FF496EB}"/>
    <dataValidation allowBlank="1" showInputMessage="1" showErrorMessage="1" prompt="Escriba notas en esta celda." sqref="E17:H18" xr:uid="{993AE2E0-8CDC-4469-B4B3-7A52EA4066AC}"/>
    <dataValidation allowBlank="1" showInputMessage="1" showErrorMessage="1" prompt="Las celdas de esta fila y las filas 6, 8, 10, 12 y 14 son para escribir notas diarias relacionadas con el día natural de la celda anterior." sqref="B4:G4 B7 B10 B13 B16" xr:uid="{7C6C13D7-7D07-4CD7-9ABB-D87650D1D3DA}"/>
    <dataValidation allowBlank="1" showInputMessage="1" showErrorMessage="1" prompt="El día de la semana se determinará automáticamente" sqref="C2:H2" xr:uid="{216351C8-3597-408C-99BC-714EA3A4EC2E}"/>
    <dataValidation allowBlank="1" showErrorMessage="1" prompt="El año de esta celda se actualiza automáticamente según el año especificado en la celda K2. El calendario siguiente incluye fechas de los meses anterior y posterior con un sombreado de fuente más claro." sqref="B1" xr:uid="{0B7CD5E7-B8FD-482D-BF61-784665098218}"/>
    <dataValidation allowBlank="1" showInputMessage="1" showErrorMessage="1" prompt="Esta fila contiene los nombres de los días laborables de este calendario. Esta celda contiene el día de inicio de la semana. Para cambiar el día de inicio, escriba un nuevo día laborable en la celda K4." sqref="B2" xr:uid="{1A027C85-4CC7-43CB-9FA8-E56C28E7D885}"/>
    <dataValidation allowBlank="1" showInputMessage="1" showErrorMessage="1" prompt="Escriba el año en esta celda" sqref="K3" xr:uid="{876ECCEE-B84C-4EFA-990F-73083A795EDC}"/>
    <dataValidation allowBlank="1" showInputMessage="1" showErrorMessage="1" prompt="Seleccione el día de inicio de la semana en la celda a la derecha." sqref="J4" xr:uid="{02395AB7-781D-4299-8B80-BD6D635CA812}"/>
    <dataValidation allowBlank="1" showInputMessage="1" showErrorMessage="1" prompt="Escriba el año en la celda a la derecha" sqref="J3" xr:uid="{22F57554-FB80-423B-862C-CB05D903C6BD}"/>
    <dataValidation allowBlank="1" showInputMessage="1" showErrorMessage="1" prompt="Escriba el año y seleccione el día de inicio del calendario en las celdas siguientes. Estas celdas de configuración del calendario no se imprimirán." sqref="J2" xr:uid="{591AEE66-C32E-4FB6-8F37-5C6E9E7D9E98}"/>
    <dataValidation allowBlank="1" showInputMessage="1" showErrorMessage="1" prompt="Cree calendarios de un mes personalizados en este libro. Personalice el año y el día de inicio de la semana para todos los meses de esta hoja de cálculo de enero. Cada mes se encuentra en una hoja de cálculo independiente." sqref="A1" xr:uid="{57369F4D-8FF3-4CAF-915E-1B94AE609625}"/>
    <dataValidation type="list" errorStyle="warning" allowBlank="1" showInputMessage="1" showErrorMessage="1" error="Seleccione un día de la lista. Seleccione Cancelar y, después, presione ALT + Flecha abajo para seleccionar el día de la lista desplegable" prompt="Escriba el día de inicio de la semana en esta celda. Presione ALT+FLECHA ABAJO para abrir la lista desplegable y luego, ENTRAR para seleccionar el día de inicio de la semana." sqref="K4" xr:uid="{AE7A4AD9-B5E6-4C9C-931E-F9F5413D11B4}">
      <formula1>"DOMINGO,LUNES"</formula1>
    </dataValidation>
  </dataValidations>
  <hyperlinks>
    <hyperlink ref="D28" r:id="rId1" display="javascript:envioPeticionOpcion(1, 'ME','2mOPDvZSYpTaY48O9lJilAAAAXXtv~BpNWeet5~V2f0','N','*amp*FILTRO_TLA1=N*amp*FILTRO_TLA1_contracteCarrec=*amp*FILTRO_TLA1_referenciaUnica=*amp*FILTRO_TLA1_contracteAbon=*amp*FILTRO_TLA1_indContracteAbon=*amp*TIPUS_CONSULTA=*amp*FILTRO_TLA1_codiDivisa=*amp*FILTRO_TLA1_indicadorEfectiu=*amp*FILTRO_TLA1_oficina=*amp*FILTRO_TLA1_entitat=*amp*FILTRO_TLA1_codiEntitat=*amp*FILTRO_TLA1_importInicial=*amp*FILTRO_TLA1_importFinal=*amp*FILTRO_TLA1_dataInici=*amp*FILTRO_TLA1_dataFin=*amp*FILTRO_TLA1_estat=*amp*FILTRO_TLA1_canal=*amp*FLUJO=UNI,100,:UNI,0,:GFI,7,*amp*LISTA_CUENTAS_IS_INICIO=S*amp*REFVAL_SIMPLE_CLAVE_CONTINUACION_CUENTAS=2mOPDvGIP~jaY48O8Yg_6AAAAXXtvzKyDsc1K_SK_nk*amp*TIPO_LISTADO=T*amp*TIPUS_TRANSFERENCIA=ME*amp*IND_CONTINUACION=*amp*CLAU_CONTINUACION=*amp*PESTANA=TTU','PAU P','2mOPDvYYTVzaY48O9hhNXAAAAXXtv~BpYLBGdgQz52c')" xr:uid="{00811494-B2EE-408B-A8F7-B2A05638F3BE}"/>
    <hyperlink ref="D29" r:id="rId2" display="javascript:envioPeticionOpcion(1, 'ME','2mOPDtwhtSfaY48O3CG1JwAAAXXtvAnM2FkdViqMup8','N','*amp*FILTRO_TLA1=N*amp*FILTRO_TLA1_contracteCarrec=*amp*FILTRO_TLA1_referenciaUnica=*amp*FILTRO_TLA1_contracteAbon=*amp*FILTRO_TLA1_indContracteAbon=*amp*TIPUS_CONSULTA=*amp*FILTRO_TLA1_codiDivisa=*amp*FILTRO_TLA1_indicadorEfectiu=*amp*FILTRO_TLA1_oficina=*amp*FILTRO_TLA1_entitat=*amp*FILTRO_TLA1_codiEntitat=*amp*FILTRO_TLA1_importInicial=*amp*FILTRO_TLA1_importFinal=*amp*FILTRO_TLA1_dataInici=*amp*FILTRO_TLA1_dataFin=*amp*FILTRO_TLA1_estat=*amp*FILTRO_TLA1_canal=*amp*FLUJO=UNI,100,:UNI,0,:GFI,7,*amp*LISTA_CUENTAS_IS_INICIO=S*amp*REFVAL_SIMPLE_CLAVE_CONTINUACION_CUENTAS=2mOPDvGIP~jaY48O8Yg_6AAAAXXtvzKyDsc1K_SK_nk*amp*TIPO_LISTADO=T*amp*TIPUS_TRANSFERENCIA=ME*amp*IND_CONTINUACION=*amp*CLAU_CONTINUACION=*amp*PESTANA=TTU','bernat','2mOPDtw7B1vaY48O3DsHWwAAAXXtvAnL9Lwo0vxpEfI')" xr:uid="{8F32BA8D-58BE-4E9B-B666-84D7C8870FB5}"/>
  </hyperlinks>
  <printOptions horizontalCentered="1" verticalCentered="1"/>
  <pageMargins left="0.7" right="0.7" top="0.75" bottom="0.75" header="0.3" footer="0.3"/>
  <pageSetup paperSize="9" orientation="landscape" r:id="rId3"/>
  <headerFooter differentFirst="1" alignWithMargins="0">
    <oddFooter>Page &amp;P of &amp;N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23E1E-D7F6-4A52-859F-78E599A01C2C}">
  <sheetPr>
    <tabColor theme="5"/>
    <pageSetUpPr fitToPage="1"/>
  </sheetPr>
  <dimension ref="B1:J46"/>
  <sheetViews>
    <sheetView showGridLines="0" zoomScale="90" zoomScaleNormal="90" workbookViewId="0">
      <selection activeCell="B22" sqref="B22"/>
    </sheetView>
  </sheetViews>
  <sheetFormatPr baseColWidth="10" defaultColWidth="8.88671875" defaultRowHeight="14.25"/>
  <cols>
    <col min="1" max="1" width="2.77734375" customWidth="1"/>
    <col min="2" max="2" width="18.44140625" customWidth="1"/>
    <col min="3" max="8" width="17.77734375" customWidth="1"/>
    <col min="9" max="9" width="2.77734375" customWidth="1"/>
    <col min="10" max="10" width="10.6640625" customWidth="1"/>
  </cols>
  <sheetData>
    <row r="1" spans="2:8" ht="59.25" customHeight="1">
      <c r="B1" s="31" t="str">
        <f>"Mayo "&amp;Acalendario</f>
        <v>Mayo 2024</v>
      </c>
      <c r="C1" s="32"/>
      <c r="D1" s="32"/>
      <c r="E1" s="33"/>
      <c r="F1" s="33"/>
      <c r="G1" s="33"/>
      <c r="H1" s="34"/>
    </row>
    <row r="2" spans="2:8" ht="21.75" customHeight="1">
      <c r="B2" s="5" t="str">
        <f>IF(InicioDeSemana="DOMINGO", "DOMINGO","LUNES")</f>
        <v>LUNES</v>
      </c>
      <c r="C2" s="5" t="str">
        <f t="shared" ref="C2:H2" si="0">UPPER(TEXT(C3,"dddd"))</f>
        <v>MARTES</v>
      </c>
      <c r="D2" s="5" t="str">
        <f t="shared" si="0"/>
        <v>MIÉRCOLES</v>
      </c>
      <c r="E2" s="5" t="str">
        <f t="shared" si="0"/>
        <v>JUEVES</v>
      </c>
      <c r="F2" s="5" t="str">
        <f t="shared" si="0"/>
        <v>VIERNES</v>
      </c>
      <c r="G2" s="5" t="str">
        <f t="shared" si="0"/>
        <v>SÁBADO</v>
      </c>
      <c r="H2" s="5" t="str">
        <f t="shared" si="0"/>
        <v>DOMINGO</v>
      </c>
    </row>
    <row r="3" spans="2:8" ht="19.5" customHeight="1">
      <c r="B3" s="59">
        <f t="array" ref="B3:H3">DaysAndWeeks+DATE(Acalendario,5,1)-WEEKDAY(DATE(Acalendario,5,1),(InicioDeSemana="LUNES")+1)+1</f>
        <v>45411</v>
      </c>
      <c r="C3" s="59">
        <v>45412</v>
      </c>
      <c r="D3" s="59">
        <v>45413</v>
      </c>
      <c r="E3" s="59">
        <v>45414</v>
      </c>
      <c r="F3" s="59">
        <v>45415</v>
      </c>
      <c r="G3" s="59">
        <v>45416</v>
      </c>
      <c r="H3" s="59">
        <v>45417</v>
      </c>
    </row>
    <row r="4" spans="2:8" ht="57.95" customHeight="1">
      <c r="B4" s="59"/>
      <c r="C4" s="59"/>
      <c r="D4" s="59" t="s">
        <v>31</v>
      </c>
      <c r="E4" s="117" t="s">
        <v>119</v>
      </c>
      <c r="F4" s="117" t="s">
        <v>58</v>
      </c>
      <c r="G4" s="124" t="s">
        <v>82</v>
      </c>
      <c r="H4" s="59"/>
    </row>
    <row r="5" spans="2:8" ht="30" customHeight="1">
      <c r="B5" s="79"/>
      <c r="C5" s="79"/>
      <c r="D5" s="79" t="s">
        <v>31</v>
      </c>
      <c r="E5" s="125" t="s">
        <v>71</v>
      </c>
      <c r="F5" s="125" t="s">
        <v>40</v>
      </c>
      <c r="G5" s="126"/>
      <c r="H5" s="79"/>
    </row>
    <row r="6" spans="2:8" ht="19.5" customHeight="1">
      <c r="B6" s="60">
        <f t="array" ref="B6:H6">DaysAndWeeks+DATE(Acalendario,5,1)-WEEKDAY(DATE(Acalendario,5,1),(InicioDeSemana="LUNES")+1)+8</f>
        <v>45418</v>
      </c>
      <c r="C6" s="60">
        <v>45419</v>
      </c>
      <c r="D6" s="60">
        <v>45420</v>
      </c>
      <c r="E6" s="60">
        <v>45421</v>
      </c>
      <c r="F6" s="60">
        <v>45422</v>
      </c>
      <c r="G6" s="60">
        <v>45423</v>
      </c>
      <c r="H6" s="60">
        <v>45424</v>
      </c>
    </row>
    <row r="7" spans="2:8" ht="57.95" customHeight="1">
      <c r="B7" s="117" t="s">
        <v>116</v>
      </c>
      <c r="C7" s="116" t="s">
        <v>121</v>
      </c>
      <c r="D7" s="118" t="s">
        <v>118</v>
      </c>
      <c r="E7" s="117" t="s">
        <v>119</v>
      </c>
      <c r="F7" s="117" t="s">
        <v>105</v>
      </c>
      <c r="G7" s="91" t="s">
        <v>82</v>
      </c>
      <c r="H7" s="60"/>
    </row>
    <row r="8" spans="2:8" ht="35.25" customHeight="1">
      <c r="B8" s="75"/>
      <c r="C8" s="127" t="s">
        <v>27</v>
      </c>
      <c r="D8" s="96" t="s">
        <v>87</v>
      </c>
      <c r="E8" s="97" t="s">
        <v>71</v>
      </c>
      <c r="F8" s="97" t="s">
        <v>40</v>
      </c>
      <c r="G8" s="75"/>
      <c r="H8" s="75"/>
    </row>
    <row r="9" spans="2:8" ht="19.5" customHeight="1">
      <c r="B9" s="59">
        <f t="array" ref="B9:H9">DaysAndWeeks+DATE(Acalendario,5,1)-WEEKDAY(DATE(Acalendario,5,1),(InicioDeSemana="LUNES")+1)+15</f>
        <v>45425</v>
      </c>
      <c r="C9" s="59">
        <v>45426</v>
      </c>
      <c r="D9" s="59">
        <v>45427</v>
      </c>
      <c r="E9" s="59">
        <v>45428</v>
      </c>
      <c r="F9" s="59">
        <v>45429</v>
      </c>
      <c r="G9" s="59">
        <v>45430</v>
      </c>
      <c r="H9" s="59">
        <v>45431</v>
      </c>
    </row>
    <row r="10" spans="2:8" ht="57.95" customHeight="1">
      <c r="B10" s="117" t="s">
        <v>116</v>
      </c>
      <c r="C10" s="116" t="s">
        <v>129</v>
      </c>
      <c r="D10" s="118" t="s">
        <v>130</v>
      </c>
      <c r="E10" s="117" t="s">
        <v>131</v>
      </c>
      <c r="F10" s="117" t="s">
        <v>133</v>
      </c>
      <c r="G10" s="91" t="s">
        <v>82</v>
      </c>
      <c r="H10" s="59"/>
    </row>
    <row r="11" spans="2:8" ht="27" customHeight="1">
      <c r="B11" s="126" t="s">
        <v>27</v>
      </c>
      <c r="C11" s="126" t="s">
        <v>103</v>
      </c>
      <c r="D11" s="96" t="s">
        <v>87</v>
      </c>
      <c r="E11" s="97" t="s">
        <v>71</v>
      </c>
      <c r="F11" s="97" t="s">
        <v>132</v>
      </c>
      <c r="G11" s="126"/>
      <c r="H11" s="126"/>
    </row>
    <row r="12" spans="2:8" ht="19.5" customHeight="1">
      <c r="B12" s="60">
        <f t="array" ref="B12:H12">DaysAndWeeks+DATE(Acalendario,5,1)-WEEKDAY(DATE(Acalendario,5,1),(InicioDeSemana="LUNES")+1)+22</f>
        <v>45432</v>
      </c>
      <c r="C12" s="60">
        <v>45433</v>
      </c>
      <c r="D12" s="60">
        <v>45434</v>
      </c>
      <c r="E12" s="60">
        <v>45435</v>
      </c>
      <c r="F12" s="60">
        <v>45436</v>
      </c>
      <c r="G12" s="60">
        <v>45437</v>
      </c>
      <c r="H12" s="60">
        <v>45438</v>
      </c>
    </row>
    <row r="13" spans="2:8" ht="68.25" customHeight="1">
      <c r="B13" s="117" t="s">
        <v>116</v>
      </c>
      <c r="C13" s="116" t="s">
        <v>129</v>
      </c>
      <c r="D13" s="118" t="s">
        <v>130</v>
      </c>
      <c r="E13" s="117" t="s">
        <v>131</v>
      </c>
      <c r="F13" s="117" t="s">
        <v>105</v>
      </c>
      <c r="G13" s="91" t="s">
        <v>82</v>
      </c>
      <c r="H13" s="60"/>
    </row>
    <row r="14" spans="2:8" ht="31.5" customHeight="1">
      <c r="B14" s="127" t="s">
        <v>27</v>
      </c>
      <c r="C14" s="127" t="s">
        <v>103</v>
      </c>
      <c r="D14" s="127" t="s">
        <v>87</v>
      </c>
      <c r="E14" s="127" t="s">
        <v>71</v>
      </c>
      <c r="F14" s="127" t="s">
        <v>40</v>
      </c>
      <c r="G14" s="127"/>
      <c r="H14" s="127"/>
    </row>
    <row r="15" spans="2:8" ht="19.5" customHeight="1">
      <c r="B15" s="59">
        <f t="array" ref="B15:H15">DaysAndWeeks+DATE(Acalendario,5,1)-WEEKDAY(DATE(Acalendario,5,1),(InicioDeSemana="LUNES")+1)+29</f>
        <v>45439</v>
      </c>
      <c r="C15" s="59">
        <v>45440</v>
      </c>
      <c r="D15" s="59">
        <v>45441</v>
      </c>
      <c r="E15" s="59">
        <v>45442</v>
      </c>
      <c r="F15" s="59">
        <v>45443</v>
      </c>
      <c r="G15" s="59">
        <v>45444</v>
      </c>
      <c r="H15" s="59">
        <v>45445</v>
      </c>
    </row>
    <row r="16" spans="2:8" ht="57.95" customHeight="1">
      <c r="B16" s="117" t="s">
        <v>116</v>
      </c>
      <c r="C16" s="116" t="s">
        <v>129</v>
      </c>
      <c r="D16" s="118" t="s">
        <v>130</v>
      </c>
      <c r="E16" s="117" t="s">
        <v>131</v>
      </c>
      <c r="F16" s="117" t="s">
        <v>134</v>
      </c>
      <c r="G16" s="59"/>
      <c r="H16" s="59"/>
    </row>
    <row r="17" spans="2:8" ht="57.95" customHeight="1">
      <c r="B17" s="79" t="s">
        <v>27</v>
      </c>
      <c r="C17" s="79" t="s">
        <v>103</v>
      </c>
      <c r="D17" s="79" t="s">
        <v>87</v>
      </c>
      <c r="E17" s="79" t="s">
        <v>71</v>
      </c>
      <c r="F17" s="79" t="s">
        <v>40</v>
      </c>
      <c r="G17" s="59"/>
      <c r="H17" s="59"/>
    </row>
    <row r="18" spans="2:8" ht="19.5" customHeight="1">
      <c r="B18" s="60">
        <f t="array" ref="B18:C18">DaysAndWeeks+DATE(Acalendario,5,1)-WEEKDAY(DATE(Acalendario,5,1),(InicioDeSemana="LUNES")+1)+36</f>
        <v>45446</v>
      </c>
      <c r="C18" s="60">
        <v>45447</v>
      </c>
      <c r="D18" s="63" t="s">
        <v>0</v>
      </c>
      <c r="E18" s="251"/>
      <c r="F18" s="251"/>
      <c r="G18" s="251"/>
      <c r="H18" s="252"/>
    </row>
    <row r="19" spans="2:8" ht="57.95" customHeight="1">
      <c r="B19" s="60"/>
      <c r="C19" s="60"/>
      <c r="D19" s="7"/>
      <c r="E19" s="253"/>
      <c r="F19" s="253"/>
      <c r="G19" s="253"/>
      <c r="H19" s="254"/>
    </row>
    <row r="28" spans="2:8">
      <c r="E28" s="107"/>
      <c r="F28" s="67" t="s">
        <v>6</v>
      </c>
      <c r="G28" s="123" t="s">
        <v>125</v>
      </c>
    </row>
    <row r="29" spans="2:8">
      <c r="D29" s="282" t="s">
        <v>8</v>
      </c>
      <c r="E29" s="282"/>
      <c r="F29" s="67" t="s">
        <v>9</v>
      </c>
      <c r="G29" s="67">
        <f>COUNTIF((B3:H21),"*estel*")</f>
        <v>8</v>
      </c>
      <c r="H29" s="81">
        <f>G29*18</f>
        <v>144</v>
      </c>
    </row>
    <row r="30" spans="2:8">
      <c r="D30" s="282" t="s">
        <v>12</v>
      </c>
      <c r="E30" s="282"/>
      <c r="F30" s="67" t="s">
        <v>13</v>
      </c>
      <c r="G30" s="67">
        <f>COUNTIF((B3:H20),"*bernat*")</f>
        <v>27</v>
      </c>
      <c r="H30" s="81">
        <f>G30*20</f>
        <v>540</v>
      </c>
    </row>
    <row r="31" spans="2:8">
      <c r="D31" s="282" t="s">
        <v>14</v>
      </c>
      <c r="E31" s="282"/>
      <c r="F31" s="67" t="s">
        <v>15</v>
      </c>
      <c r="G31" s="67">
        <f>COUNTIF((B2:H21),"*pati*")</f>
        <v>4</v>
      </c>
      <c r="H31" s="81">
        <f>G31*18</f>
        <v>72</v>
      </c>
    </row>
    <row r="32" spans="2:8">
      <c r="D32" s="282" t="s">
        <v>16</v>
      </c>
      <c r="E32" s="282"/>
      <c r="F32" s="128" t="s">
        <v>17</v>
      </c>
      <c r="G32" s="67">
        <f>COUNTIF((B3:H21),"*mario*")</f>
        <v>26</v>
      </c>
      <c r="H32" s="81">
        <f>G32*20</f>
        <v>520</v>
      </c>
    </row>
    <row r="33" spans="4:10">
      <c r="D33" s="283" t="s">
        <v>95</v>
      </c>
      <c r="E33" s="284"/>
      <c r="F33" s="113" t="s">
        <v>90</v>
      </c>
      <c r="G33" s="67">
        <f>COUNTIF((B2:H22),"*nuria*")</f>
        <v>20</v>
      </c>
      <c r="H33" s="81">
        <f>16*18+100</f>
        <v>388</v>
      </c>
    </row>
    <row r="34" spans="4:10">
      <c r="D34" s="285" t="s">
        <v>76</v>
      </c>
      <c r="E34" s="286"/>
      <c r="F34" s="110" t="s">
        <v>19</v>
      </c>
      <c r="G34" s="67">
        <f>COUNTIF((B2:H23),"*hector*")</f>
        <v>11</v>
      </c>
      <c r="H34" s="111">
        <f>G34*10</f>
        <v>110</v>
      </c>
    </row>
    <row r="35" spans="4:10">
      <c r="D35" s="88"/>
      <c r="E35" s="107" t="s">
        <v>18</v>
      </c>
      <c r="F35" s="67" t="s">
        <v>25</v>
      </c>
      <c r="G35" s="67">
        <f>COUNTIF((B2:H24),"*cristina*")</f>
        <v>10</v>
      </c>
      <c r="H35" s="81">
        <f>G35*10</f>
        <v>100</v>
      </c>
    </row>
    <row r="36" spans="4:10">
      <c r="D36" s="88"/>
      <c r="E36" s="107" t="s">
        <v>18</v>
      </c>
      <c r="F36" s="67" t="s">
        <v>20</v>
      </c>
      <c r="G36" s="67">
        <f>COUNTIF((B3:H25),"*zaro*")</f>
        <v>21</v>
      </c>
      <c r="H36" s="81">
        <f>G36*18</f>
        <v>378</v>
      </c>
    </row>
    <row r="37" spans="4:10">
      <c r="D37" s="283" t="s">
        <v>59</v>
      </c>
      <c r="E37" s="284"/>
      <c r="F37" s="67" t="s">
        <v>21</v>
      </c>
      <c r="G37" s="67">
        <f>COUNTIF((B2:H21),"*nico*")</f>
        <v>12</v>
      </c>
      <c r="H37" s="81">
        <f>G37*15</f>
        <v>180</v>
      </c>
    </row>
    <row r="38" spans="4:10">
      <c r="D38" s="88"/>
      <c r="E38" s="107" t="s">
        <v>18</v>
      </c>
      <c r="F38" s="67" t="s">
        <v>26</v>
      </c>
      <c r="G38" s="67">
        <f>COUNTIF((B2:H21),"*carla*")</f>
        <v>4</v>
      </c>
      <c r="H38">
        <f>G38*10</f>
        <v>40</v>
      </c>
    </row>
    <row r="39" spans="4:10">
      <c r="D39" s="287" t="s">
        <v>33</v>
      </c>
      <c r="E39" s="287"/>
      <c r="F39" s="73" t="s">
        <v>23</v>
      </c>
      <c r="G39" s="67">
        <f>COUNTIF((B2:H20),"*candela*")</f>
        <v>26</v>
      </c>
      <c r="H39" s="81">
        <f>G39*18</f>
        <v>468</v>
      </c>
    </row>
    <row r="40" spans="4:10">
      <c r="D40" s="88"/>
      <c r="E40" s="66" t="s">
        <v>18</v>
      </c>
      <c r="F40" s="69" t="s">
        <v>24</v>
      </c>
      <c r="G40" s="67">
        <f>COUNTIF((B2:H20),"*ana*")</f>
        <v>20</v>
      </c>
      <c r="H40" s="81">
        <f>G40*18</f>
        <v>360</v>
      </c>
    </row>
    <row r="41" spans="4:10">
      <c r="D41" s="283" t="s">
        <v>83</v>
      </c>
      <c r="E41" s="282"/>
      <c r="F41" s="85" t="s">
        <v>36</v>
      </c>
      <c r="G41" s="67">
        <f>COUNTIF((B2:H21),"*raul*")</f>
        <v>16</v>
      </c>
      <c r="H41" s="81">
        <f>G41*15</f>
        <v>240</v>
      </c>
      <c r="I41" t="s">
        <v>128</v>
      </c>
    </row>
    <row r="42" spans="4:10">
      <c r="D42" s="88"/>
      <c r="E42" s="99" t="s">
        <v>18</v>
      </c>
      <c r="F42" s="100" t="s">
        <v>47</v>
      </c>
      <c r="G42" s="67">
        <v>9</v>
      </c>
      <c r="H42" s="81">
        <f>G42*12</f>
        <v>108</v>
      </c>
    </row>
    <row r="43" spans="4:10">
      <c r="D43" s="283" t="s">
        <v>91</v>
      </c>
      <c r="E43" s="284"/>
      <c r="F43" s="108" t="s">
        <v>77</v>
      </c>
      <c r="G43" s="67">
        <f>COUNTIF((B2:H21),"*noa*")</f>
        <v>3</v>
      </c>
      <c r="H43" s="81">
        <f>G43*18</f>
        <v>54</v>
      </c>
    </row>
    <row r="44" spans="4:10">
      <c r="D44" s="283" t="s">
        <v>89</v>
      </c>
      <c r="E44" s="284"/>
      <c r="F44" s="112" t="s">
        <v>88</v>
      </c>
      <c r="G44" s="67">
        <f>COUNTIF((B15:H33),"*cristina*")</f>
        <v>2</v>
      </c>
      <c r="H44" s="81">
        <v>460</v>
      </c>
      <c r="I44" t="s">
        <v>110</v>
      </c>
      <c r="J44">
        <v>51.5</v>
      </c>
    </row>
    <row r="45" spans="4:10">
      <c r="D45" s="283" t="s">
        <v>42</v>
      </c>
      <c r="E45" s="284"/>
      <c r="F45" s="121" t="s">
        <v>41</v>
      </c>
      <c r="G45" s="67">
        <f>COUNTIF((B2:H21),"*maria*")</f>
        <v>12</v>
      </c>
      <c r="H45" s="81">
        <f>8*18+75</f>
        <v>219</v>
      </c>
    </row>
    <row r="46" spans="4:10">
      <c r="D46" s="88"/>
      <c r="E46" s="77"/>
      <c r="F46" s="78" t="s">
        <v>28</v>
      </c>
      <c r="G46" s="77">
        <f>SUM(G29:G45)</f>
        <v>231</v>
      </c>
      <c r="H46" s="77">
        <f>SUM(H29:H45)</f>
        <v>4381</v>
      </c>
    </row>
  </sheetData>
  <mergeCells count="13">
    <mergeCell ref="D43:E43"/>
    <mergeCell ref="D44:E44"/>
    <mergeCell ref="D45:E45"/>
    <mergeCell ref="D33:E33"/>
    <mergeCell ref="D34:E34"/>
    <mergeCell ref="D37:E37"/>
    <mergeCell ref="D39:E39"/>
    <mergeCell ref="D41:E41"/>
    <mergeCell ref="E18:H19"/>
    <mergeCell ref="D29:E29"/>
    <mergeCell ref="D30:E30"/>
    <mergeCell ref="D31:E31"/>
    <mergeCell ref="D32:E32"/>
  </mergeCells>
  <conditionalFormatting sqref="B18:D18">
    <cfRule type="expression" dxfId="22" priority="1">
      <formula>AND(DAY(B18)&gt;=1,DAY(B18)&lt;=15)</formula>
    </cfRule>
  </conditionalFormatting>
  <conditionalFormatting sqref="B3:G3">
    <cfRule type="expression" dxfId="21" priority="2">
      <formula>DAY(B3)&gt;8</formula>
    </cfRule>
  </conditionalFormatting>
  <conditionalFormatting sqref="B15:H15">
    <cfRule type="expression" dxfId="20" priority="3">
      <formula>AND(DAY(B15)&gt;=1,DAY(B15)&lt;=15)</formula>
    </cfRule>
  </conditionalFormatting>
  <dataValidations count="9">
    <dataValidation allowBlank="1" showInputMessage="1" showErrorMessage="1" prompt="Esta fila y las filas 5, 7, 9, 11 y 13 contienen días naturales de la semana. Si esta celda no contiene el número 1, se trata de un día del mes anterior. Escriba notas en la celda E13." sqref="B3" xr:uid="{A3884215-315E-49C9-AE2D-DB73DCB086F3}"/>
    <dataValidation allowBlank="1" showInputMessage="1" showErrorMessage="1" prompt="El año en esta celda se actualiza automáticamente. Seleccione otro año en la celda K3 de la hoja de cálculo Enero para cambiar el año" sqref="C1" xr:uid="{CD07D2F3-64B7-449F-8486-A6BFF33C26CE}"/>
    <dataValidation allowBlank="1" showInputMessage="1" showErrorMessage="1" prompt="Las celdas de esta fila y las filas 6, 8, 10, 12 y 14 son para escribir notas diarias relacionadas con el día natural de la celda anterior." sqref="B4:B5" xr:uid="{F8391A70-C399-4C19-BE27-6ECC0E52B0CF}"/>
    <dataValidation allowBlank="1" showInputMessage="1" showErrorMessage="1" prompt="Escriba notas en esta celda." sqref="E18:H19" xr:uid="{C2343B71-38B1-4E42-8D61-6FF8F5459D16}"/>
    <dataValidation allowBlank="1" showInputMessage="1" showErrorMessage="1" prompt="Escriba notas en la celda a la derecha." sqref="D18:D19" xr:uid="{FDADB637-4643-4CC0-AB5E-2A62E3F2BD5C}"/>
    <dataValidation allowBlank="1" showInputMessage="1" showErrorMessage="1" prompt="Calendario del mes de mayo" sqref="A1" xr:uid="{6FCD2460-714F-48DA-850D-0B9B0C71B937}"/>
    <dataValidation allowBlank="1" showInputMessage="1" showErrorMessage="1" prompt="Esta fila contiene los nombres de los días laborables de este calendario. Esta celda contiene el día de inicio de la semana. Para cambiar el día de inicio, escriba un nuevo día laborable en la celda K4 de la hoja de cálculo Enero." sqref="B2" xr:uid="{BF6E1BA5-34A0-4B43-9C61-63ED90CF50DE}"/>
    <dataValidation allowBlank="1" showErrorMessage="1" prompt="El año de esta celda se actualiza automáticamente según el año especificado en la hoja de cálculo de Enero. El calendario siguiente incluye fechas de los meses anterior y posterior con un sombreado de fuente más claro." sqref="B1" xr:uid="{36EFC723-E2F9-46ED-805C-0378E5145851}"/>
    <dataValidation allowBlank="1" showInputMessage="1" showErrorMessage="1" prompt="El día de la semana se determinará automáticamente" sqref="C2:H2" xr:uid="{BFA83A00-95D7-4EDC-A43C-675284EBE8FD}"/>
  </dataValidations>
  <hyperlinks>
    <hyperlink ref="D30" r:id="rId1" display="javascript:envioPeticionOpcion(1, 'ME','2mOPDtwhtSfaY48O3CG1JwAAAXXtvAnM2FkdViqMup8','N','*amp*FILTRO_TLA1=N*amp*FILTRO_TLA1_contracteCarrec=*amp*FILTRO_TLA1_referenciaUnica=*amp*FILTRO_TLA1_contracteAbon=*amp*FILTRO_TLA1_indContracteAbon=*amp*TIPUS_CONSULTA=*amp*FILTRO_TLA1_codiDivisa=*amp*FILTRO_TLA1_indicadorEfectiu=*amp*FILTRO_TLA1_oficina=*amp*FILTRO_TLA1_entitat=*amp*FILTRO_TLA1_codiEntitat=*amp*FILTRO_TLA1_importInicial=*amp*FILTRO_TLA1_importFinal=*amp*FILTRO_TLA1_dataInici=*amp*FILTRO_TLA1_dataFin=*amp*FILTRO_TLA1_estat=*amp*FILTRO_TLA1_canal=*amp*FLUJO=UNI,100,:UNI,0,:GFI,7,*amp*LISTA_CUENTAS_IS_INICIO=S*amp*REFVAL_SIMPLE_CLAVE_CONTINUACION_CUENTAS=2mOPDvGIP~jaY48O8Yg_6AAAAXXtvzKyDsc1K_SK_nk*amp*TIPO_LISTADO=T*amp*TIPUS_TRANSFERENCIA=ME*amp*IND_CONTINUACION=*amp*CLAU_CONTINUACION=*amp*PESTANA=TTU','bernat','2mOPDtw7B1vaY48O3DsHWwAAAXXtvAnL9Lwo0vxpEfI')" xr:uid="{07A2B427-FF49-4585-9DE2-3D199704204A}"/>
  </hyperlinks>
  <printOptions horizontalCentered="1" verticalCentered="1"/>
  <pageMargins left="0.7" right="0.7" top="0.75" bottom="0.75" header="0.3" footer="0.3"/>
  <pageSetup paperSize="9" scale="83" orientation="landscape" r:id="rId2"/>
  <headerFooter differentFirst="1">
    <oddFooter>Page &amp;P of &amp;N</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431FC-FDC4-4EB8-B93F-93B53582257D}">
  <sheetPr>
    <tabColor theme="6" tint="0.39997558519241921"/>
    <pageSetUpPr fitToPage="1"/>
  </sheetPr>
  <dimension ref="A1:H51"/>
  <sheetViews>
    <sheetView showGridLines="0" topLeftCell="A18" zoomScale="90" zoomScaleNormal="90" workbookViewId="0">
      <selection activeCell="F39" sqref="F39"/>
    </sheetView>
  </sheetViews>
  <sheetFormatPr baseColWidth="10" defaultColWidth="8.88671875" defaultRowHeight="14.25"/>
  <cols>
    <col min="1" max="1" width="2.77734375" customWidth="1"/>
    <col min="2" max="2" width="18.44140625" customWidth="1"/>
    <col min="3" max="3" width="17.77734375" customWidth="1"/>
    <col min="4" max="4" width="19.6640625" customWidth="1"/>
    <col min="5" max="5" width="21" customWidth="1"/>
    <col min="6" max="6" width="17.77734375" customWidth="1"/>
    <col min="7" max="7" width="19.21875" customWidth="1"/>
    <col min="8" max="8" width="19" customWidth="1"/>
    <col min="9" max="9" width="16.5546875" customWidth="1"/>
    <col min="10" max="10" width="17.21875" customWidth="1"/>
  </cols>
  <sheetData>
    <row r="1" spans="1:8" s="1" customFormat="1" ht="59.25" customHeight="1">
      <c r="A1"/>
      <c r="B1" s="21" t="str">
        <f>"Febrero "&amp;Acalendario</f>
        <v>Febrero 2024</v>
      </c>
      <c r="C1" s="22"/>
      <c r="D1" s="22"/>
      <c r="E1" s="23"/>
      <c r="F1" s="23"/>
      <c r="G1" s="23"/>
      <c r="H1" s="24"/>
    </row>
    <row r="2" spans="1:8" s="2" customFormat="1" ht="21.75" customHeight="1">
      <c r="A2"/>
      <c r="B2" s="5" t="str">
        <f>IF(InicioDeSemana="DOMINGO", "DOMINGO","LUNES")</f>
        <v>LUNES</v>
      </c>
      <c r="C2" s="5" t="str">
        <f t="shared" ref="C2:H2" si="0">UPPER(TEXT(C3,"dddd"))</f>
        <v>MARTES</v>
      </c>
      <c r="D2" s="5" t="str">
        <f t="shared" si="0"/>
        <v>MIÉRCOLES</v>
      </c>
      <c r="E2" s="5" t="str">
        <f t="shared" si="0"/>
        <v>JUEVES</v>
      </c>
      <c r="F2" s="5" t="str">
        <f t="shared" si="0"/>
        <v>VIERNES</v>
      </c>
      <c r="G2" s="5" t="str">
        <f t="shared" si="0"/>
        <v>SÁBADO</v>
      </c>
      <c r="H2" s="5" t="str">
        <f t="shared" si="0"/>
        <v>DOMINGO</v>
      </c>
    </row>
    <row r="3" spans="1:8" s="3" customFormat="1" ht="19.5" customHeight="1">
      <c r="A3"/>
      <c r="B3" s="59">
        <f t="array" ref="B3:H3">DaysAndWeeks+DATE(Acalendario,2,1)-WEEKDAY(DATE(Acalendario,2,1),(InicioDeSemana="LUNES")+1)+1</f>
        <v>45320</v>
      </c>
      <c r="C3" s="59">
        <v>45321</v>
      </c>
      <c r="D3" s="59">
        <v>45322</v>
      </c>
      <c r="E3" s="59">
        <v>45323</v>
      </c>
      <c r="F3" s="59">
        <v>45324</v>
      </c>
      <c r="G3" s="59">
        <v>45325</v>
      </c>
      <c r="H3" s="59">
        <v>45326</v>
      </c>
    </row>
    <row r="4" spans="1:8" ht="57.95" customHeight="1">
      <c r="B4" s="59"/>
      <c r="C4" s="59"/>
      <c r="D4" s="59"/>
      <c r="E4" s="59"/>
      <c r="F4" s="59"/>
      <c r="G4" s="59"/>
      <c r="H4" s="59"/>
    </row>
    <row r="5" spans="1:8" ht="57.95" customHeight="1">
      <c r="B5" s="83"/>
      <c r="C5" s="105"/>
      <c r="D5" s="89"/>
      <c r="E5" s="90" t="s">
        <v>66</v>
      </c>
      <c r="F5" s="83" t="s">
        <v>65</v>
      </c>
      <c r="G5" s="82" t="s">
        <v>67</v>
      </c>
      <c r="H5" s="59"/>
    </row>
    <row r="6" spans="1:8" ht="57.95" customHeight="1">
      <c r="B6" s="96"/>
      <c r="C6" s="96"/>
      <c r="D6" s="96"/>
      <c r="E6" s="97" t="s">
        <v>103</v>
      </c>
      <c r="F6" s="97" t="s">
        <v>40</v>
      </c>
      <c r="G6" s="59"/>
      <c r="H6" s="59"/>
    </row>
    <row r="7" spans="1:8" s="3" customFormat="1" ht="19.5" customHeight="1">
      <c r="A7"/>
      <c r="B7" s="60">
        <f t="array" ref="B7:H7">DaysAndWeeks+DATE(Acalendario,2,1)-WEEKDAY(DATE(Acalendario,2,1),(InicioDeSemana="LUNES")+1)+8</f>
        <v>45327</v>
      </c>
      <c r="C7" s="60">
        <v>45328</v>
      </c>
      <c r="D7" s="60">
        <v>45329</v>
      </c>
      <c r="E7" s="60">
        <v>45330</v>
      </c>
      <c r="F7" s="60">
        <v>45331</v>
      </c>
      <c r="G7" s="60">
        <v>45332</v>
      </c>
      <c r="H7" s="60">
        <v>45333</v>
      </c>
    </row>
    <row r="8" spans="1:8" ht="57.95" customHeight="1">
      <c r="B8" s="83" t="s">
        <v>72</v>
      </c>
      <c r="C8" s="60" t="s">
        <v>75</v>
      </c>
      <c r="D8" s="89" t="s">
        <v>73</v>
      </c>
      <c r="E8" s="90" t="s">
        <v>69</v>
      </c>
      <c r="F8" s="83" t="s">
        <v>58</v>
      </c>
      <c r="G8" s="60" t="s">
        <v>68</v>
      </c>
      <c r="H8" s="60"/>
    </row>
    <row r="9" spans="1:8" ht="57.95" customHeight="1">
      <c r="B9" s="96" t="s">
        <v>29</v>
      </c>
      <c r="C9" s="96" t="s">
        <v>27</v>
      </c>
      <c r="D9" s="96" t="s">
        <v>70</v>
      </c>
      <c r="E9" s="97" t="s">
        <v>71</v>
      </c>
      <c r="F9" s="97" t="s">
        <v>40</v>
      </c>
      <c r="G9" s="60"/>
      <c r="H9" s="60"/>
    </row>
    <row r="10" spans="1:8" s="3" customFormat="1" ht="19.5" customHeight="1">
      <c r="A10"/>
      <c r="B10" s="59">
        <f t="array" ref="B10:H10">DaysAndWeeks+DATE(Acalendario,2,1)-WEEKDAY(DATE(Acalendario,2,1),(InicioDeSemana="LUNES")+1)+15</f>
        <v>45334</v>
      </c>
      <c r="C10" s="59">
        <v>45335</v>
      </c>
      <c r="D10" s="59">
        <v>45336</v>
      </c>
      <c r="E10" s="59">
        <v>45337</v>
      </c>
      <c r="F10" s="59">
        <v>45338</v>
      </c>
      <c r="G10" s="59">
        <v>45339</v>
      </c>
      <c r="H10" s="59">
        <v>45340</v>
      </c>
    </row>
    <row r="11" spans="1:8" ht="57.95" customHeight="1">
      <c r="B11" s="83"/>
      <c r="C11" s="60" t="s">
        <v>74</v>
      </c>
      <c r="D11" s="89" t="s">
        <v>73</v>
      </c>
      <c r="E11" s="90" t="s">
        <v>46</v>
      </c>
      <c r="F11" s="83" t="s">
        <v>58</v>
      </c>
      <c r="G11" s="59" t="s">
        <v>82</v>
      </c>
      <c r="H11" s="59"/>
    </row>
    <row r="12" spans="1:8" ht="57.95" customHeight="1">
      <c r="B12" s="96" t="s">
        <v>29</v>
      </c>
      <c r="C12" s="96" t="s">
        <v>27</v>
      </c>
      <c r="D12" s="96" t="s">
        <v>86</v>
      </c>
      <c r="E12" s="97" t="s">
        <v>71</v>
      </c>
      <c r="F12" s="97" t="s">
        <v>34</v>
      </c>
      <c r="G12" s="59"/>
      <c r="H12" s="59"/>
    </row>
    <row r="13" spans="1:8" s="3" customFormat="1" ht="19.5" customHeight="1">
      <c r="A13"/>
      <c r="B13" s="60">
        <f t="array" ref="B13:H13">DaysAndWeeks+DATE(Acalendario,2,1)-WEEKDAY(DATE(Acalendario,2,1),(InicioDeSemana="LUNES")+1)+22</f>
        <v>45341</v>
      </c>
      <c r="C13" s="60">
        <v>45342</v>
      </c>
      <c r="D13" s="60">
        <v>45343</v>
      </c>
      <c r="E13" s="60">
        <v>45344</v>
      </c>
      <c r="F13" s="60">
        <v>45345</v>
      </c>
      <c r="G13" s="60">
        <v>45346</v>
      </c>
      <c r="H13" s="60">
        <v>45347</v>
      </c>
    </row>
    <row r="14" spans="1:8" ht="57.95" customHeight="1">
      <c r="B14" s="83" t="s">
        <v>85</v>
      </c>
      <c r="C14" s="60" t="s">
        <v>78</v>
      </c>
      <c r="D14" s="89" t="s">
        <v>73</v>
      </c>
      <c r="E14" s="90" t="s">
        <v>81</v>
      </c>
      <c r="F14" s="83" t="s">
        <v>58</v>
      </c>
      <c r="G14" s="60" t="s">
        <v>71</v>
      </c>
      <c r="H14" s="60"/>
    </row>
    <row r="15" spans="1:8" ht="57.95" customHeight="1">
      <c r="B15" s="96" t="s">
        <v>27</v>
      </c>
      <c r="C15" s="96" t="s">
        <v>27</v>
      </c>
      <c r="D15" s="96" t="s">
        <v>86</v>
      </c>
      <c r="E15" s="97" t="s">
        <v>71</v>
      </c>
      <c r="F15" s="97" t="s">
        <v>40</v>
      </c>
      <c r="G15" s="60"/>
      <c r="H15" s="60"/>
    </row>
    <row r="16" spans="1:8" s="3" customFormat="1" ht="19.5" customHeight="1">
      <c r="A16"/>
      <c r="B16" s="59">
        <f t="array" ref="B16:H16">DaysAndWeeks+DATE(Acalendario,2,1)-WEEKDAY(DATE(Acalendario,2,1),(InicioDeSemana="LUNES")+1)+29</f>
        <v>45348</v>
      </c>
      <c r="C16" s="59">
        <v>45349</v>
      </c>
      <c r="D16" s="59">
        <v>45350</v>
      </c>
      <c r="E16" s="59">
        <v>45351</v>
      </c>
      <c r="F16" s="59">
        <v>45352</v>
      </c>
      <c r="G16" s="59">
        <v>45353</v>
      </c>
      <c r="H16" s="59">
        <v>45354</v>
      </c>
    </row>
    <row r="17" spans="1:8" ht="57.95" customHeight="1">
      <c r="B17" s="83" t="s">
        <v>85</v>
      </c>
      <c r="C17" s="60" t="s">
        <v>79</v>
      </c>
      <c r="D17" s="89" t="s">
        <v>73</v>
      </c>
      <c r="E17" s="90" t="s">
        <v>80</v>
      </c>
      <c r="F17" s="83"/>
      <c r="G17" s="59"/>
      <c r="H17" s="59"/>
    </row>
    <row r="18" spans="1:8" ht="57.95" customHeight="1">
      <c r="B18" s="96" t="s">
        <v>84</v>
      </c>
      <c r="C18" s="96" t="s">
        <v>27</v>
      </c>
      <c r="D18" s="96" t="s">
        <v>87</v>
      </c>
      <c r="E18" s="97" t="s">
        <v>71</v>
      </c>
      <c r="F18" s="97"/>
      <c r="G18" s="59"/>
      <c r="H18" s="59"/>
    </row>
    <row r="19" spans="1:8" s="3" customFormat="1" ht="19.5" customHeight="1">
      <c r="A19"/>
      <c r="B19" s="60">
        <f t="array" ref="B19:C19">DaysAndWeeks+DATE(Acalendario,2,1)-WEEKDAY(DATE(Acalendario,2,1),(InicioDeSemana="LUNES")+1)+36</f>
        <v>45355</v>
      </c>
      <c r="C19" s="60">
        <v>45356</v>
      </c>
      <c r="D19" s="63" t="s">
        <v>0</v>
      </c>
      <c r="E19" s="251"/>
      <c r="F19" s="251"/>
      <c r="G19" s="251"/>
      <c r="H19" s="252"/>
    </row>
    <row r="20" spans="1:8" ht="57.95" customHeight="1">
      <c r="B20" s="60"/>
      <c r="C20" s="60"/>
      <c r="D20" s="7"/>
      <c r="E20" s="253"/>
      <c r="F20" s="253"/>
      <c r="G20" s="253"/>
      <c r="H20" s="254"/>
    </row>
    <row r="27" spans="1:8">
      <c r="E27" s="106"/>
    </row>
    <row r="28" spans="1:8">
      <c r="E28" s="106"/>
    </row>
    <row r="29" spans="1:8">
      <c r="E29" s="106"/>
    </row>
    <row r="30" spans="1:8">
      <c r="E30" s="107"/>
      <c r="F30" s="67" t="s">
        <v>6</v>
      </c>
      <c r="G30" s="102" t="s">
        <v>55</v>
      </c>
    </row>
    <row r="31" spans="1:8" ht="18" customHeight="1">
      <c r="D31" s="282" t="s">
        <v>8</v>
      </c>
      <c r="E31" s="282"/>
      <c r="F31" s="67" t="s">
        <v>9</v>
      </c>
      <c r="G31" s="67">
        <f>COUNTIF((B2:H20),"*estel*")</f>
        <v>6</v>
      </c>
      <c r="H31" s="81">
        <f>G31*18</f>
        <v>108</v>
      </c>
    </row>
    <row r="32" spans="1:8">
      <c r="D32" s="282" t="s">
        <v>10</v>
      </c>
      <c r="E32" s="282"/>
      <c r="F32" s="67" t="s">
        <v>11</v>
      </c>
      <c r="G32" s="67">
        <f>COUNTIF((B2:H20),"*pau*")</f>
        <v>1</v>
      </c>
      <c r="H32" s="81">
        <f>G32*25</f>
        <v>25</v>
      </c>
    </row>
    <row r="33" spans="4:8">
      <c r="D33" s="282" t="s">
        <v>12</v>
      </c>
      <c r="E33" s="282"/>
      <c r="F33" s="67" t="s">
        <v>13</v>
      </c>
      <c r="G33" s="67">
        <f>COUNTIF((B2:H20),"*bernat*")</f>
        <v>25</v>
      </c>
      <c r="H33" s="81">
        <f>G33*20</f>
        <v>500</v>
      </c>
    </row>
    <row r="34" spans="4:8">
      <c r="D34" s="282" t="s">
        <v>14</v>
      </c>
      <c r="E34" s="282"/>
      <c r="F34" s="67" t="s">
        <v>15</v>
      </c>
      <c r="G34" s="67">
        <f>COUNTIF((B2:H20),"*pati*")</f>
        <v>5</v>
      </c>
      <c r="H34" s="81">
        <f>G34*18</f>
        <v>90</v>
      </c>
    </row>
    <row r="35" spans="4:8">
      <c r="D35" s="282" t="s">
        <v>16</v>
      </c>
      <c r="E35" s="282"/>
      <c r="F35" s="67" t="s">
        <v>17</v>
      </c>
      <c r="G35" s="67">
        <f>COUNTIF((B2:H20),"*mario*")</f>
        <v>32</v>
      </c>
      <c r="H35" s="81">
        <f>G35*20</f>
        <v>640</v>
      </c>
    </row>
    <row r="36" spans="4:8" ht="15" customHeight="1">
      <c r="D36" s="283" t="s">
        <v>60</v>
      </c>
      <c r="E36" s="284"/>
      <c r="F36" s="122" t="s">
        <v>71</v>
      </c>
      <c r="G36" s="67">
        <f>COUNTIF((B2:H20),"*nuria*")</f>
        <v>14</v>
      </c>
      <c r="H36" s="81">
        <f>G36*15</f>
        <v>210</v>
      </c>
    </row>
    <row r="37" spans="4:8" ht="19.5" customHeight="1">
      <c r="D37" s="285" t="s">
        <v>76</v>
      </c>
      <c r="E37" s="286"/>
      <c r="F37" s="110" t="s">
        <v>19</v>
      </c>
      <c r="G37" s="109">
        <f>COUNTIF((B2:H20),"*hector*")</f>
        <v>11</v>
      </c>
      <c r="H37" s="111">
        <f>G37*10</f>
        <v>110</v>
      </c>
    </row>
    <row r="38" spans="4:8">
      <c r="D38" s="88"/>
      <c r="E38" s="107" t="s">
        <v>18</v>
      </c>
      <c r="F38" s="67" t="s">
        <v>25</v>
      </c>
      <c r="G38" s="67">
        <f>COUNTIF((B2:H20),"*cristina*")</f>
        <v>9</v>
      </c>
      <c r="H38" s="81">
        <f>G38*10</f>
        <v>90</v>
      </c>
    </row>
    <row r="39" spans="4:8">
      <c r="D39" s="88"/>
      <c r="E39" s="107" t="s">
        <v>18</v>
      </c>
      <c r="F39" s="67" t="s">
        <v>20</v>
      </c>
      <c r="G39" s="67">
        <f>COUNTIF((B2:H20),"*zaro*")</f>
        <v>20</v>
      </c>
      <c r="H39" s="81">
        <f>G39*18</f>
        <v>360</v>
      </c>
    </row>
    <row r="40" spans="4:8">
      <c r="D40" s="283" t="s">
        <v>59</v>
      </c>
      <c r="E40" s="284"/>
      <c r="F40" s="67" t="s">
        <v>21</v>
      </c>
      <c r="G40" s="67">
        <f>COUNTIF((B2:H20),"*nico*")</f>
        <v>11</v>
      </c>
      <c r="H40" s="81">
        <f>G40*15</f>
        <v>165</v>
      </c>
    </row>
    <row r="41" spans="4:8">
      <c r="D41" s="88"/>
      <c r="E41" s="107" t="s">
        <v>18</v>
      </c>
      <c r="F41" s="67" t="s">
        <v>26</v>
      </c>
      <c r="G41" s="67">
        <f>COUNTIF((B2:H20),"*carla*")</f>
        <v>3</v>
      </c>
      <c r="H41" s="81">
        <f>G41*10</f>
        <v>30</v>
      </c>
    </row>
    <row r="42" spans="4:8">
      <c r="D42" s="287" t="s">
        <v>33</v>
      </c>
      <c r="E42" s="287"/>
      <c r="F42" s="73" t="s">
        <v>23</v>
      </c>
      <c r="G42" s="67">
        <f>COUNTIF((B2:H20),"*candela*")</f>
        <v>21</v>
      </c>
      <c r="H42" s="81">
        <f>G42*18</f>
        <v>378</v>
      </c>
    </row>
    <row r="43" spans="4:8">
      <c r="D43" s="88"/>
      <c r="E43" s="66" t="s">
        <v>18</v>
      </c>
      <c r="F43" s="69" t="s">
        <v>24</v>
      </c>
      <c r="G43" s="67">
        <f>COUNTIF((B2:H20),"*ana*")</f>
        <v>12</v>
      </c>
      <c r="H43" s="81">
        <f>G43*18</f>
        <v>216</v>
      </c>
    </row>
    <row r="44" spans="4:8">
      <c r="D44" s="283" t="s">
        <v>83</v>
      </c>
      <c r="E44" s="282"/>
      <c r="F44" s="85" t="s">
        <v>36</v>
      </c>
      <c r="G44" s="67">
        <f>COUNTIF((B2:H20),"*raul*")</f>
        <v>15</v>
      </c>
      <c r="H44" s="81">
        <f>G44*15</f>
        <v>225</v>
      </c>
    </row>
    <row r="45" spans="4:8">
      <c r="D45" s="88"/>
      <c r="E45" s="99" t="s">
        <v>18</v>
      </c>
      <c r="F45" s="100" t="s">
        <v>47</v>
      </c>
      <c r="G45" s="67">
        <f>COUNTIF((B2:H20),"*miriam*")</f>
        <v>7</v>
      </c>
      <c r="H45" s="81">
        <f>G45*12</f>
        <v>84</v>
      </c>
    </row>
    <row r="46" spans="4:8">
      <c r="D46" s="283" t="s">
        <v>91</v>
      </c>
      <c r="E46" s="284"/>
      <c r="F46" s="108" t="s">
        <v>77</v>
      </c>
      <c r="G46" s="67">
        <f>COUNTIF((B2:H20),"*noa*")</f>
        <v>4</v>
      </c>
      <c r="H46" s="81">
        <f>G46*18</f>
        <v>72</v>
      </c>
    </row>
    <row r="47" spans="4:8">
      <c r="D47" s="283" t="s">
        <v>89</v>
      </c>
      <c r="E47" s="284"/>
      <c r="F47" s="112" t="s">
        <v>88</v>
      </c>
      <c r="G47" s="67"/>
      <c r="H47" s="81">
        <v>166</v>
      </c>
    </row>
    <row r="48" spans="4:8">
      <c r="D48" s="283" t="s">
        <v>42</v>
      </c>
      <c r="E48" s="284"/>
      <c r="F48" s="98" t="s">
        <v>41</v>
      </c>
      <c r="G48" s="67">
        <f>COUNTIF((B2:H20),"*maria*")</f>
        <v>14</v>
      </c>
      <c r="H48" s="81">
        <f>G48*18</f>
        <v>252</v>
      </c>
    </row>
    <row r="49" spans="4:8">
      <c r="D49" s="88"/>
      <c r="E49" s="77"/>
      <c r="F49" s="78" t="s">
        <v>28</v>
      </c>
      <c r="G49" s="77">
        <f>SUM(G31:G48)</f>
        <v>210</v>
      </c>
      <c r="H49" s="77">
        <f>SUM(H31:H48)</f>
        <v>3721</v>
      </c>
    </row>
    <row r="50" spans="4:8">
      <c r="D50" s="88"/>
    </row>
    <row r="51" spans="4:8">
      <c r="D51" s="88"/>
    </row>
  </sheetData>
  <mergeCells count="14">
    <mergeCell ref="D46:E46"/>
    <mergeCell ref="D48:E48"/>
    <mergeCell ref="E19:H20"/>
    <mergeCell ref="D42:E42"/>
    <mergeCell ref="D31:E31"/>
    <mergeCell ref="D32:E32"/>
    <mergeCell ref="D33:E33"/>
    <mergeCell ref="D34:E34"/>
    <mergeCell ref="D35:E35"/>
    <mergeCell ref="D40:E40"/>
    <mergeCell ref="D37:E37"/>
    <mergeCell ref="D36:E36"/>
    <mergeCell ref="D44:E44"/>
    <mergeCell ref="D47:E47"/>
  </mergeCells>
  <conditionalFormatting sqref="B19:D19">
    <cfRule type="expression" dxfId="19" priority="1">
      <formula>AND(DAY(B19)&gt;=1,DAY(B19)&lt;=15)</formula>
    </cfRule>
  </conditionalFormatting>
  <conditionalFormatting sqref="B3:G3">
    <cfRule type="expression" dxfId="18" priority="2">
      <formula>DAY(B3)&gt;8</formula>
    </cfRule>
  </conditionalFormatting>
  <conditionalFormatting sqref="B16:H16">
    <cfRule type="expression" dxfId="17" priority="3">
      <formula>AND(DAY(B16)&gt;=1,DAY(B16)&lt;=15)</formula>
    </cfRule>
  </conditionalFormatting>
  <dataValidations count="9">
    <dataValidation allowBlank="1" showInputMessage="1" showErrorMessage="1" prompt="Esta fila y las filas 5, 7, 9, 11 y 13 contienen días naturales de la semana. Si esta celda no contiene el número 1, se trata de un día del mes anterior. Escriba notas en la celda E13." sqref="B3" xr:uid="{59D37F72-1F8C-4943-931A-9438A3E85E3F}"/>
    <dataValidation allowBlank="1" showInputMessage="1" showErrorMessage="1" prompt="El año en esta celda se actualiza automáticamente. Seleccione otro año en la celda K3 de la hoja de cálculo Enero para cambiar el año" sqref="C1" xr:uid="{42500350-28BC-4229-AD2F-E7BBF49E59F1}"/>
    <dataValidation allowBlank="1" showInputMessage="1" showErrorMessage="1" prompt="Las celdas de esta fila y las filas 6, 8, 10, 12 y 14 son para escribir notas diarias relacionadas con el día natural de la celda anterior." sqref="B15 B9 B12 B18 B4 B6" xr:uid="{A30472AC-2ACB-41B5-A994-7D0BCD834898}"/>
    <dataValidation allowBlank="1" showInputMessage="1" showErrorMessage="1" prompt="Escriba notas en esta celda." sqref="E19:H20" xr:uid="{DD551B79-4967-4A61-969D-8B0BD98607C8}"/>
    <dataValidation allowBlank="1" showInputMessage="1" showErrorMessage="1" prompt="Escriba notas en la celda a la derecha." sqref="D19:D20" xr:uid="{026080ED-B207-4089-91F6-AC1F99CB4747}"/>
    <dataValidation allowBlank="1" showInputMessage="1" showErrorMessage="1" prompt="Calendario del mes de febrero" sqref="A1" xr:uid="{C62D2A3F-30F2-4CA8-9FE7-7C4962AAE449}"/>
    <dataValidation allowBlank="1" showInputMessage="1" showErrorMessage="1" prompt="Esta fila contiene los nombres de los días laborables de este calendario. Esta celda contiene el día de inicio de la semana. Para cambiar el día de inicio, escriba un nuevo día laborable en la celda K4 de la hoja de cálculo Enero." sqref="B2" xr:uid="{6D319EF5-8A4B-4994-BFCB-A56B3195155A}"/>
    <dataValidation allowBlank="1" showErrorMessage="1" prompt="El año de esta celda se actualiza automáticamente según el año especificado en la hoja de cálculo de Enero. El calendario siguiente incluye fechas de los meses anterior y posterior con un sombreado de fuente más claro." sqref="B1" xr:uid="{C55BAA42-C64D-4915-A742-406461A3E7A3}"/>
    <dataValidation allowBlank="1" showInputMessage="1" showErrorMessage="1" prompt="El día de la semana se determinará automáticamente" sqref="C2:H2" xr:uid="{3DDC34BB-B74E-4C7F-81F7-DE3439545D5A}"/>
  </dataValidations>
  <hyperlinks>
    <hyperlink ref="D32" r:id="rId1" display="javascript:envioPeticionOpcion(1, 'ME','2mOPDvZSYpTaY48O9lJilAAAAXXtv~BpNWeet5~V2f0','N','*amp*FILTRO_TLA1=N*amp*FILTRO_TLA1_contracteCarrec=*amp*FILTRO_TLA1_referenciaUnica=*amp*FILTRO_TLA1_contracteAbon=*amp*FILTRO_TLA1_indContracteAbon=*amp*TIPUS_CONSULTA=*amp*FILTRO_TLA1_codiDivisa=*amp*FILTRO_TLA1_indicadorEfectiu=*amp*FILTRO_TLA1_oficina=*amp*FILTRO_TLA1_entitat=*amp*FILTRO_TLA1_codiEntitat=*amp*FILTRO_TLA1_importInicial=*amp*FILTRO_TLA1_importFinal=*amp*FILTRO_TLA1_dataInici=*amp*FILTRO_TLA1_dataFin=*amp*FILTRO_TLA1_estat=*amp*FILTRO_TLA1_canal=*amp*FLUJO=UNI,100,:UNI,0,:GFI,7,*amp*LISTA_CUENTAS_IS_INICIO=S*amp*REFVAL_SIMPLE_CLAVE_CONTINUACION_CUENTAS=2mOPDvGIP~jaY48O8Yg_6AAAAXXtvzKyDsc1K_SK_nk*amp*TIPO_LISTADO=T*amp*TIPUS_TRANSFERENCIA=ME*amp*IND_CONTINUACION=*amp*CLAU_CONTINUACION=*amp*PESTANA=TTU','PAU P','2mOPDvYYTVzaY48O9hhNXAAAAXXtv~BpYLBGdgQz52c')" xr:uid="{359DBD9F-BB6F-4B56-8115-7716E4946443}"/>
    <hyperlink ref="D33" r:id="rId2" display="javascript:envioPeticionOpcion(1, 'ME','2mOPDtwhtSfaY48O3CG1JwAAAXXtvAnM2FkdViqMup8','N','*amp*FILTRO_TLA1=N*amp*FILTRO_TLA1_contracteCarrec=*amp*FILTRO_TLA1_referenciaUnica=*amp*FILTRO_TLA1_contracteAbon=*amp*FILTRO_TLA1_indContracteAbon=*amp*TIPUS_CONSULTA=*amp*FILTRO_TLA1_codiDivisa=*amp*FILTRO_TLA1_indicadorEfectiu=*amp*FILTRO_TLA1_oficina=*amp*FILTRO_TLA1_entitat=*amp*FILTRO_TLA1_codiEntitat=*amp*FILTRO_TLA1_importInicial=*amp*FILTRO_TLA1_importFinal=*amp*FILTRO_TLA1_dataInici=*amp*FILTRO_TLA1_dataFin=*amp*FILTRO_TLA1_estat=*amp*FILTRO_TLA1_canal=*amp*FLUJO=UNI,100,:UNI,0,:GFI,7,*amp*LISTA_CUENTAS_IS_INICIO=S*amp*REFVAL_SIMPLE_CLAVE_CONTINUACION_CUENTAS=2mOPDvGIP~jaY48O8Yg_6AAAAXXtvzKyDsc1K_SK_nk*amp*TIPO_LISTADO=T*amp*TIPUS_TRANSFERENCIA=ME*amp*IND_CONTINUACION=*amp*CLAU_CONTINUACION=*amp*PESTANA=TTU','bernat','2mOPDtw7B1vaY48O3DsHWwAAAXXtvAnL9Lwo0vxpEfI')" xr:uid="{9B0A2797-3BEF-46B8-AB40-B60DA2A7E6E5}"/>
  </hyperlinks>
  <printOptions horizontalCentered="1" verticalCentered="1"/>
  <pageMargins left="0.7" right="0.7" top="0.75" bottom="0.75" header="0.3" footer="0.3"/>
  <pageSetup paperSize="9" scale="83" orientation="landscape" r:id="rId3"/>
  <headerFooter differentFirst="1">
    <oddFooter>Page &amp;P of &amp;N</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62D53-0613-4A84-AB68-90462C9038D9}">
  <sheetPr>
    <tabColor theme="4" tint="0.39997558519241921"/>
    <pageSetUpPr fitToPage="1"/>
  </sheetPr>
  <dimension ref="B1:H50"/>
  <sheetViews>
    <sheetView showGridLines="0" topLeftCell="A14" zoomScale="90" zoomScaleNormal="90" workbookViewId="0">
      <selection activeCell="F39" sqref="F39"/>
    </sheetView>
  </sheetViews>
  <sheetFormatPr baseColWidth="10" defaultColWidth="8.88671875" defaultRowHeight="14.25"/>
  <cols>
    <col min="1" max="1" width="2.77734375" customWidth="1"/>
    <col min="2" max="2" width="18.44140625" customWidth="1"/>
    <col min="3" max="8" width="17.77734375" customWidth="1"/>
    <col min="9" max="9" width="2.77734375" customWidth="1"/>
    <col min="10" max="10" width="10.6640625" customWidth="1"/>
  </cols>
  <sheetData>
    <row r="1" spans="2:8" ht="59.25" customHeight="1">
      <c r="B1" s="27" t="str">
        <f>"Marzo "&amp;Acalendario</f>
        <v>Marzo 2024</v>
      </c>
      <c r="C1" s="28"/>
      <c r="D1" s="28"/>
      <c r="E1" s="29"/>
      <c r="F1" s="29"/>
      <c r="G1" s="29"/>
      <c r="H1" s="30"/>
    </row>
    <row r="2" spans="2:8" ht="21.75" customHeight="1">
      <c r="B2" s="5" t="str">
        <f>IF(InicioDeSemana="DOMINGO", "DOMINGO","LUNES")</f>
        <v>LUNES</v>
      </c>
      <c r="C2" s="5" t="str">
        <f t="shared" ref="C2:H2" si="0">UPPER(TEXT(C3,"dddd"))</f>
        <v>MARTES</v>
      </c>
      <c r="D2" s="5" t="str">
        <f t="shared" si="0"/>
        <v>MIÉRCOLES</v>
      </c>
      <c r="E2" s="5" t="str">
        <f t="shared" si="0"/>
        <v>JUEVES</v>
      </c>
      <c r="F2" s="5" t="str">
        <f t="shared" si="0"/>
        <v>VIERNES</v>
      </c>
      <c r="G2" s="5" t="str">
        <f t="shared" si="0"/>
        <v>SÁBADO</v>
      </c>
      <c r="H2" s="5" t="str">
        <f t="shared" si="0"/>
        <v>DOMINGO</v>
      </c>
    </row>
    <row r="3" spans="2:8" ht="19.5" customHeight="1">
      <c r="B3" s="59">
        <f t="array" ref="B3:H3">DaysAndWeeks+DATE(Acalendario,3,1)-WEEKDAY(DATE(Acalendario,3,1),(InicioDeSemana="LUNES")+1)+1</f>
        <v>45348</v>
      </c>
      <c r="C3" s="59">
        <v>45349</v>
      </c>
      <c r="D3" s="59">
        <v>45350</v>
      </c>
      <c r="E3" s="59">
        <v>45351</v>
      </c>
      <c r="F3" s="59">
        <v>45352</v>
      </c>
      <c r="G3" s="59">
        <v>45353</v>
      </c>
      <c r="H3" s="59">
        <v>45354</v>
      </c>
    </row>
    <row r="4" spans="2:8" ht="57.95" customHeight="1">
      <c r="B4" s="62"/>
      <c r="C4" s="62"/>
      <c r="D4" s="62"/>
      <c r="E4" s="62"/>
      <c r="F4" s="83" t="s">
        <v>104</v>
      </c>
      <c r="G4" s="120" t="s">
        <v>82</v>
      </c>
      <c r="H4" s="59"/>
    </row>
    <row r="5" spans="2:8" ht="57.95" customHeight="1">
      <c r="B5" s="115"/>
      <c r="C5" s="115"/>
      <c r="D5" s="115"/>
      <c r="E5" s="115"/>
      <c r="F5" s="119" t="s">
        <v>40</v>
      </c>
      <c r="G5" s="115"/>
      <c r="H5" s="79"/>
    </row>
    <row r="6" spans="2:8" ht="19.5" customHeight="1">
      <c r="B6" s="60">
        <f t="array" ref="B6:H6">DaysAndWeeks+DATE(Acalendario,3,1)-WEEKDAY(DATE(Acalendario,3,1),(InicioDeSemana="LUNES")+1)+8</f>
        <v>45355</v>
      </c>
      <c r="C6" s="60">
        <v>45356</v>
      </c>
      <c r="D6" s="60">
        <v>45357</v>
      </c>
      <c r="E6" s="60">
        <v>45358</v>
      </c>
      <c r="F6" s="60">
        <v>45359</v>
      </c>
      <c r="G6" s="60">
        <v>45360</v>
      </c>
      <c r="H6" s="60">
        <v>45361</v>
      </c>
    </row>
    <row r="7" spans="2:8" ht="57.95" customHeight="1">
      <c r="B7" s="117" t="s">
        <v>97</v>
      </c>
      <c r="C7" s="116" t="s">
        <v>100</v>
      </c>
      <c r="D7" s="118" t="s">
        <v>73</v>
      </c>
      <c r="E7" s="117" t="s">
        <v>109</v>
      </c>
      <c r="F7" s="117" t="s">
        <v>105</v>
      </c>
      <c r="G7" s="80" t="s">
        <v>96</v>
      </c>
      <c r="H7" s="60"/>
    </row>
    <row r="8" spans="2:8" ht="57.95" customHeight="1">
      <c r="B8" s="96" t="s">
        <v>92</v>
      </c>
      <c r="C8" s="96" t="s">
        <v>27</v>
      </c>
      <c r="D8" s="96" t="s">
        <v>87</v>
      </c>
      <c r="E8" s="97" t="s">
        <v>71</v>
      </c>
      <c r="F8" s="97" t="s">
        <v>40</v>
      </c>
      <c r="G8" s="75"/>
      <c r="H8" s="75"/>
    </row>
    <row r="9" spans="2:8" ht="19.5" customHeight="1">
      <c r="B9" s="59">
        <f t="array" ref="B9:H9">DaysAndWeeks+DATE(Acalendario,3,1)-WEEKDAY(DATE(Acalendario,3,1),(InicioDeSemana="LUNES")+1)+15</f>
        <v>45362</v>
      </c>
      <c r="C9" s="59">
        <v>45363</v>
      </c>
      <c r="D9" s="59">
        <v>45364</v>
      </c>
      <c r="E9" s="59">
        <v>45365</v>
      </c>
      <c r="F9" s="59">
        <v>45366</v>
      </c>
      <c r="G9" s="59">
        <v>45367</v>
      </c>
      <c r="H9" s="59">
        <v>45368</v>
      </c>
    </row>
    <row r="10" spans="2:8" ht="57.95" customHeight="1">
      <c r="B10" s="117" t="s">
        <v>98</v>
      </c>
      <c r="C10" s="116" t="s">
        <v>101</v>
      </c>
      <c r="D10" s="118" t="s">
        <v>99</v>
      </c>
      <c r="E10" s="117" t="s">
        <v>108</v>
      </c>
      <c r="F10" s="117" t="s">
        <v>106</v>
      </c>
      <c r="G10" s="82" t="s">
        <v>82</v>
      </c>
      <c r="H10" s="59"/>
    </row>
    <row r="11" spans="2:8" ht="57.95" customHeight="1">
      <c r="B11" s="96" t="s">
        <v>93</v>
      </c>
      <c r="C11" s="96" t="s">
        <v>27</v>
      </c>
      <c r="D11" s="96" t="s">
        <v>87</v>
      </c>
      <c r="E11" s="96" t="s">
        <v>71</v>
      </c>
      <c r="F11" s="97" t="s">
        <v>40</v>
      </c>
      <c r="G11" s="79"/>
      <c r="H11" s="79"/>
    </row>
    <row r="12" spans="2:8" ht="19.5" customHeight="1">
      <c r="B12" s="60">
        <f t="array" ref="B12:H12">DaysAndWeeks+DATE(Acalendario,3,1)-WEEKDAY(DATE(Acalendario,3,1),(InicioDeSemana="LUNES")+1)+22</f>
        <v>45369</v>
      </c>
      <c r="C12" s="60">
        <v>45370</v>
      </c>
      <c r="D12" s="60">
        <v>45371</v>
      </c>
      <c r="E12" s="60">
        <v>45372</v>
      </c>
      <c r="F12" s="60">
        <v>45373</v>
      </c>
      <c r="G12" s="60">
        <v>45374</v>
      </c>
      <c r="H12" s="60">
        <v>45375</v>
      </c>
    </row>
    <row r="13" spans="2:8" ht="57.95" customHeight="1">
      <c r="B13" s="117" t="s">
        <v>102</v>
      </c>
      <c r="C13" s="116" t="s">
        <v>101</v>
      </c>
      <c r="D13" s="118" t="s">
        <v>73</v>
      </c>
      <c r="E13" s="117" t="s">
        <v>107</v>
      </c>
      <c r="F13" s="117" t="s">
        <v>111</v>
      </c>
      <c r="G13" s="82" t="s">
        <v>82</v>
      </c>
      <c r="H13" s="60"/>
    </row>
    <row r="14" spans="2:8" ht="57.95" customHeight="1">
      <c r="B14" s="96" t="s">
        <v>93</v>
      </c>
      <c r="C14" s="96" t="s">
        <v>27</v>
      </c>
      <c r="D14" s="96" t="s">
        <v>87</v>
      </c>
      <c r="E14" s="96" t="s">
        <v>71</v>
      </c>
      <c r="F14" s="97" t="s">
        <v>40</v>
      </c>
      <c r="G14" s="75"/>
      <c r="H14" s="75"/>
    </row>
    <row r="15" spans="2:8" ht="19.5" customHeight="1">
      <c r="B15" s="59">
        <f t="array" ref="B15:H15">DaysAndWeeks+DATE(Acalendario,3,1)-WEEKDAY(DATE(Acalendario,3,1),(InicioDeSemana="LUNES")+1)+29</f>
        <v>45376</v>
      </c>
      <c r="C15" s="59">
        <v>45377</v>
      </c>
      <c r="D15" s="59">
        <v>45378</v>
      </c>
      <c r="E15" s="59">
        <v>45379</v>
      </c>
      <c r="F15" s="59">
        <v>45380</v>
      </c>
      <c r="G15" s="59">
        <v>45381</v>
      </c>
      <c r="H15" s="59">
        <v>45382</v>
      </c>
    </row>
    <row r="16" spans="2:8" ht="57.95" customHeight="1">
      <c r="B16" s="59" t="s">
        <v>94</v>
      </c>
      <c r="C16" s="59" t="s">
        <v>94</v>
      </c>
      <c r="D16" s="59" t="s">
        <v>94</v>
      </c>
      <c r="E16" s="59" t="s">
        <v>94</v>
      </c>
      <c r="F16" s="59" t="s">
        <v>37</v>
      </c>
      <c r="G16" s="59"/>
      <c r="H16" s="59"/>
    </row>
    <row r="17" spans="2:8" ht="57.95" customHeight="1">
      <c r="B17" s="79"/>
      <c r="C17" s="79"/>
      <c r="D17" s="79"/>
      <c r="E17" s="79"/>
      <c r="F17" s="79"/>
      <c r="G17" s="79"/>
      <c r="H17" s="79"/>
    </row>
    <row r="18" spans="2:8" ht="19.5" customHeight="1">
      <c r="B18" s="60">
        <f t="array" ref="B18:C18">DaysAndWeeks+DATE(Acalendario,3,1)-WEEKDAY(DATE(Acalendario,3,1),(InicioDeSemana="LUNES")+1)+36</f>
        <v>45383</v>
      </c>
      <c r="C18" s="60">
        <v>45384</v>
      </c>
      <c r="D18" s="63" t="s">
        <v>0</v>
      </c>
      <c r="E18" s="251"/>
      <c r="F18" s="251"/>
      <c r="G18" s="251"/>
      <c r="H18" s="252"/>
    </row>
    <row r="19" spans="2:8" ht="57.95" customHeight="1">
      <c r="B19" s="60"/>
      <c r="C19" s="60"/>
      <c r="D19" s="7"/>
      <c r="E19" s="253"/>
      <c r="F19" s="253"/>
      <c r="G19" s="253"/>
      <c r="H19" s="254"/>
    </row>
    <row r="27" spans="2:8">
      <c r="E27" s="107"/>
      <c r="F27" s="67" t="s">
        <v>6</v>
      </c>
      <c r="G27" s="102" t="s">
        <v>55</v>
      </c>
    </row>
    <row r="28" spans="2:8">
      <c r="D28" s="282" t="s">
        <v>8</v>
      </c>
      <c r="E28" s="282"/>
      <c r="F28" s="67" t="s">
        <v>9</v>
      </c>
      <c r="G28" s="67">
        <f>COUNTIF((B2:H25),"*estel*")</f>
        <v>4</v>
      </c>
      <c r="H28" s="81">
        <f>G28*18</f>
        <v>72</v>
      </c>
    </row>
    <row r="29" spans="2:8">
      <c r="D29" s="282" t="s">
        <v>10</v>
      </c>
      <c r="E29" s="282"/>
      <c r="F29" s="67" t="s">
        <v>11</v>
      </c>
      <c r="G29" s="67">
        <f>COUNTIF((B2:H25),"*pau*")</f>
        <v>1</v>
      </c>
      <c r="H29" s="81">
        <f>G29*25</f>
        <v>25</v>
      </c>
    </row>
    <row r="30" spans="2:8">
      <c r="D30" s="282" t="s">
        <v>12</v>
      </c>
      <c r="E30" s="282"/>
      <c r="F30" s="67" t="s">
        <v>13</v>
      </c>
      <c r="G30" s="67">
        <f>COUNTIF((B2:H25),"*bernat*")</f>
        <v>20</v>
      </c>
      <c r="H30" s="81">
        <f>G30*20</f>
        <v>400</v>
      </c>
    </row>
    <row r="31" spans="2:8" ht="14.25" customHeight="1">
      <c r="D31" s="282" t="s">
        <v>14</v>
      </c>
      <c r="E31" s="282"/>
      <c r="F31" s="67" t="s">
        <v>15</v>
      </c>
      <c r="G31" s="67">
        <f>COUNTIF((B2:H25),"*pati*")</f>
        <v>3</v>
      </c>
      <c r="H31" s="81">
        <f>G31*18</f>
        <v>54</v>
      </c>
    </row>
    <row r="32" spans="2:8" ht="14.25" customHeight="1">
      <c r="D32" s="282" t="s">
        <v>16</v>
      </c>
      <c r="E32" s="282"/>
      <c r="F32" s="67" t="s">
        <v>17</v>
      </c>
      <c r="G32" s="67">
        <f>COUNTIF((B2:H25),"*mario*")</f>
        <v>26</v>
      </c>
      <c r="H32" s="81">
        <f>G32*20</f>
        <v>520</v>
      </c>
    </row>
    <row r="33" spans="4:8">
      <c r="D33" s="283" t="s">
        <v>95</v>
      </c>
      <c r="E33" s="284"/>
      <c r="F33" s="113" t="s">
        <v>90</v>
      </c>
      <c r="G33" s="67">
        <f>COUNTIF((B2:H25),"*nuria*")</f>
        <v>13</v>
      </c>
      <c r="H33" s="81">
        <f>10*18+75</f>
        <v>255</v>
      </c>
    </row>
    <row r="34" spans="4:8">
      <c r="D34" s="285" t="s">
        <v>76</v>
      </c>
      <c r="E34" s="286"/>
      <c r="F34" s="110" t="s">
        <v>19</v>
      </c>
      <c r="G34" s="109">
        <f>COUNTIF((B2:H25),"*hector*")</f>
        <v>10</v>
      </c>
      <c r="H34" s="111">
        <f>G34*10</f>
        <v>100</v>
      </c>
    </row>
    <row r="35" spans="4:8" ht="14.25" customHeight="1">
      <c r="D35" s="88"/>
      <c r="E35" s="107" t="s">
        <v>18</v>
      </c>
      <c r="F35" s="67" t="s">
        <v>25</v>
      </c>
      <c r="G35" s="67">
        <f>COUNTIF((B2:H25),"*cristina*")</f>
        <v>6</v>
      </c>
      <c r="H35" s="81">
        <f>G35*10</f>
        <v>60</v>
      </c>
    </row>
    <row r="36" spans="4:8">
      <c r="D36" s="88"/>
      <c r="E36" s="107" t="s">
        <v>18</v>
      </c>
      <c r="F36" s="67" t="s">
        <v>20</v>
      </c>
      <c r="G36" s="67">
        <f>COUNTIF((B2:H25),"*zaro*")</f>
        <v>16</v>
      </c>
      <c r="H36" s="81">
        <f>G36*18</f>
        <v>288</v>
      </c>
    </row>
    <row r="37" spans="4:8" ht="14.25" customHeight="1">
      <c r="D37" s="283" t="s">
        <v>59</v>
      </c>
      <c r="E37" s="284"/>
      <c r="F37" s="67" t="s">
        <v>21</v>
      </c>
      <c r="G37" s="67">
        <f>COUNTIF((B2:H25),"*nico*")</f>
        <v>9</v>
      </c>
      <c r="H37" s="81">
        <f>G37*15</f>
        <v>135</v>
      </c>
    </row>
    <row r="38" spans="4:8">
      <c r="D38" s="88"/>
      <c r="E38" s="107" t="s">
        <v>18</v>
      </c>
      <c r="F38" s="67" t="s">
        <v>26</v>
      </c>
      <c r="G38" s="67">
        <f>COUNTIF((B2:H25),"*carla*")</f>
        <v>2</v>
      </c>
      <c r="H38" s="81">
        <f>G38*10</f>
        <v>20</v>
      </c>
    </row>
    <row r="39" spans="4:8" ht="14.25" customHeight="1">
      <c r="D39" s="287" t="s">
        <v>33</v>
      </c>
      <c r="E39" s="287"/>
      <c r="F39" s="73" t="s">
        <v>23</v>
      </c>
      <c r="G39" s="67">
        <f>COUNTIF((B2:H25),"*candela*")</f>
        <v>18</v>
      </c>
      <c r="H39" s="81">
        <f>G39*18</f>
        <v>324</v>
      </c>
    </row>
    <row r="40" spans="4:8">
      <c r="D40" s="88"/>
      <c r="E40" s="66" t="s">
        <v>18</v>
      </c>
      <c r="F40" s="69" t="s">
        <v>24</v>
      </c>
      <c r="G40" s="67">
        <f>COUNTIF((B2:H25),"*ana*")</f>
        <v>16</v>
      </c>
      <c r="H40" s="81">
        <f>G40*18</f>
        <v>288</v>
      </c>
    </row>
    <row r="41" spans="4:8" ht="14.25" customHeight="1">
      <c r="D41" s="283" t="s">
        <v>83</v>
      </c>
      <c r="E41" s="282"/>
      <c r="F41" s="85" t="s">
        <v>36</v>
      </c>
      <c r="G41" s="67">
        <f>COUNTIF((B2:H25),"*raul*")</f>
        <v>13</v>
      </c>
      <c r="H41" s="81">
        <f>G41*15</f>
        <v>195</v>
      </c>
    </row>
    <row r="42" spans="4:8" ht="14.25" customHeight="1">
      <c r="D42" s="88"/>
      <c r="E42" s="99" t="s">
        <v>18</v>
      </c>
      <c r="F42" s="100" t="s">
        <v>47</v>
      </c>
      <c r="G42" s="67">
        <f>COUNTIF((B2:H25),"*miriam*")</f>
        <v>6</v>
      </c>
      <c r="H42" s="81">
        <f>G42*12</f>
        <v>72</v>
      </c>
    </row>
    <row r="43" spans="4:8" ht="14.25" customHeight="1">
      <c r="D43" s="283" t="s">
        <v>91</v>
      </c>
      <c r="E43" s="284"/>
      <c r="F43" s="108" t="s">
        <v>77</v>
      </c>
      <c r="G43" s="67">
        <f>COUNTIF((B2:H25),"*noa*")</f>
        <v>3</v>
      </c>
      <c r="H43" s="81">
        <f>G43*18</f>
        <v>54</v>
      </c>
    </row>
    <row r="44" spans="4:8">
      <c r="D44" s="283" t="s">
        <v>89</v>
      </c>
      <c r="E44" s="284"/>
      <c r="F44" s="112" t="s">
        <v>88</v>
      </c>
      <c r="G44" s="67"/>
      <c r="H44" s="81">
        <v>460</v>
      </c>
    </row>
    <row r="45" spans="4:8">
      <c r="D45" s="283" t="s">
        <v>42</v>
      </c>
      <c r="E45" s="284"/>
      <c r="F45" s="121" t="s">
        <v>41</v>
      </c>
      <c r="G45" s="67">
        <f>COUNTIF((B2:H25),"*maria*")</f>
        <v>12</v>
      </c>
      <c r="H45" s="81">
        <f>9*18+75</f>
        <v>237</v>
      </c>
    </row>
    <row r="46" spans="4:8">
      <c r="D46" s="88"/>
      <c r="E46" s="77"/>
      <c r="F46" s="78" t="s">
        <v>28</v>
      </c>
      <c r="G46" s="77">
        <f>SUM(G28:G45)</f>
        <v>178</v>
      </c>
      <c r="H46" s="77">
        <f>SUM(H28:H45)</f>
        <v>3559</v>
      </c>
    </row>
    <row r="47" spans="4:8">
      <c r="D47" s="88"/>
    </row>
    <row r="48" spans="4:8">
      <c r="D48" s="88"/>
      <c r="F48" s="76"/>
    </row>
    <row r="49" spans="4:4">
      <c r="D49" s="88"/>
    </row>
    <row r="50" spans="4:4">
      <c r="D50" s="88"/>
    </row>
  </sheetData>
  <mergeCells count="14">
    <mergeCell ref="D43:E43"/>
    <mergeCell ref="D33:E33"/>
    <mergeCell ref="D34:E34"/>
    <mergeCell ref="D45:E45"/>
    <mergeCell ref="D44:E44"/>
    <mergeCell ref="E18:H19"/>
    <mergeCell ref="D41:E41"/>
    <mergeCell ref="D28:E28"/>
    <mergeCell ref="D29:E29"/>
    <mergeCell ref="D30:E30"/>
    <mergeCell ref="D31:E31"/>
    <mergeCell ref="D32:E32"/>
    <mergeCell ref="D37:E37"/>
    <mergeCell ref="D39:E39"/>
  </mergeCells>
  <conditionalFormatting sqref="B18:D18">
    <cfRule type="expression" dxfId="16" priority="2">
      <formula>AND(DAY(B18)&gt;=1,DAY(B18)&lt;=15)</formula>
    </cfRule>
  </conditionalFormatting>
  <conditionalFormatting sqref="B3:G3">
    <cfRule type="expression" dxfId="15" priority="1">
      <formula>DAY(B3)&gt;8</formula>
    </cfRule>
  </conditionalFormatting>
  <conditionalFormatting sqref="B15:H15">
    <cfRule type="expression" dxfId="14" priority="3">
      <formula>AND(DAY(B15)&gt;=1,DAY(B15)&lt;=15)</formula>
    </cfRule>
  </conditionalFormatting>
  <dataValidations count="9">
    <dataValidation allowBlank="1" showInputMessage="1" showErrorMessage="1" prompt="Esta fila y las filas 5, 7, 9, 11 y 13 contienen días naturales de la semana. Si esta celda no contiene el número 1, se trata de un día del mes anterior. Escriba notas en la celda E13." sqref="B3" xr:uid="{69BCFD21-CE69-4E27-A28E-469EA8E2D297}"/>
    <dataValidation allowBlank="1" showInputMessage="1" showErrorMessage="1" prompt="El año en esta celda se actualiza automáticamente. Seleccione otro año en la celda K3 de la hoja de cálculo Enero para cambiar el año" sqref="C1" xr:uid="{1C6A20A8-9045-48D4-A292-B5C627523762}"/>
    <dataValidation allowBlank="1" showInputMessage="1" showErrorMessage="1" prompt="El día de la semana se determinará automáticamente" sqref="C2:H2" xr:uid="{547972AE-011C-4093-98F1-758BF1FCA85C}"/>
    <dataValidation allowBlank="1" showErrorMessage="1" prompt="El año de esta celda se actualiza automáticamente según el año especificado en la hoja de cálculo de Enero. El calendario siguiente incluye fechas de los meses anterior y posterior con un sombreado de fuente más claro." sqref="B1" xr:uid="{1A40DB9D-8F72-4367-B848-6F5FB93AAD2F}"/>
    <dataValidation allowBlank="1" showInputMessage="1" showErrorMessage="1" prompt="Esta fila contiene los nombres de los días laborables de este calendario. Esta celda contiene el día de inicio de la semana. Para cambiar el día de inicio, escriba un nuevo día laborable en la celda K4 de la hoja de cálculo Enero." sqref="B2" xr:uid="{4D6498B5-E01C-4704-A0C9-971654E96F44}"/>
    <dataValidation allowBlank="1" showInputMessage="1" showErrorMessage="1" prompt="Calendario del mes de marzo" sqref="A1" xr:uid="{2444775B-24DE-4BF9-8506-D280DF8AA531}"/>
    <dataValidation allowBlank="1" showInputMessage="1" showErrorMessage="1" prompt="Escriba notas en la celda a la derecha." sqref="D18:D19" xr:uid="{477FC017-3284-4112-868F-E4CD7B452179}"/>
    <dataValidation allowBlank="1" showInputMessage="1" showErrorMessage="1" prompt="Escriba notas en esta celda." sqref="E18:H19" xr:uid="{A3984A13-772D-4EB8-BEA9-D37DD4AAC601}"/>
    <dataValidation allowBlank="1" showInputMessage="1" showErrorMessage="1" prompt="Las celdas de esta fila y las filas 6, 8, 10, 12 y 14 son para escribir notas diarias relacionadas con el día natural de la celda anterior." sqref="B4:B5 B8 B11 B14" xr:uid="{389DA56D-9A26-445A-A488-795CAE2E7C78}"/>
  </dataValidations>
  <hyperlinks>
    <hyperlink ref="D29" r:id="rId1" display="javascript:envioPeticionOpcion(1, 'ME','2mOPDvZSYpTaY48O9lJilAAAAXXtv~BpNWeet5~V2f0','N','*amp*FILTRO_TLA1=N*amp*FILTRO_TLA1_contracteCarrec=*amp*FILTRO_TLA1_referenciaUnica=*amp*FILTRO_TLA1_contracteAbon=*amp*FILTRO_TLA1_indContracteAbon=*amp*TIPUS_CONSULTA=*amp*FILTRO_TLA1_codiDivisa=*amp*FILTRO_TLA1_indicadorEfectiu=*amp*FILTRO_TLA1_oficina=*amp*FILTRO_TLA1_entitat=*amp*FILTRO_TLA1_codiEntitat=*amp*FILTRO_TLA1_importInicial=*amp*FILTRO_TLA1_importFinal=*amp*FILTRO_TLA1_dataInici=*amp*FILTRO_TLA1_dataFin=*amp*FILTRO_TLA1_estat=*amp*FILTRO_TLA1_canal=*amp*FLUJO=UNI,100,:UNI,0,:GFI,7,*amp*LISTA_CUENTAS_IS_INICIO=S*amp*REFVAL_SIMPLE_CLAVE_CONTINUACION_CUENTAS=2mOPDvGIP~jaY48O8Yg_6AAAAXXtvzKyDsc1K_SK_nk*amp*TIPO_LISTADO=T*amp*TIPUS_TRANSFERENCIA=ME*amp*IND_CONTINUACION=*amp*CLAU_CONTINUACION=*amp*PESTANA=TTU','PAU P','2mOPDvYYTVzaY48O9hhNXAAAAXXtv~BpYLBGdgQz52c')" xr:uid="{447EAC0F-D42D-4CD1-81F6-4277509F400A}"/>
    <hyperlink ref="D30" r:id="rId2" display="javascript:envioPeticionOpcion(1, 'ME','2mOPDtwhtSfaY48O3CG1JwAAAXXtvAnM2FkdViqMup8','N','*amp*FILTRO_TLA1=N*amp*FILTRO_TLA1_contracteCarrec=*amp*FILTRO_TLA1_referenciaUnica=*amp*FILTRO_TLA1_contracteAbon=*amp*FILTRO_TLA1_indContracteAbon=*amp*TIPUS_CONSULTA=*amp*FILTRO_TLA1_codiDivisa=*amp*FILTRO_TLA1_indicadorEfectiu=*amp*FILTRO_TLA1_oficina=*amp*FILTRO_TLA1_entitat=*amp*FILTRO_TLA1_codiEntitat=*amp*FILTRO_TLA1_importInicial=*amp*FILTRO_TLA1_importFinal=*amp*FILTRO_TLA1_dataInici=*amp*FILTRO_TLA1_dataFin=*amp*FILTRO_TLA1_estat=*amp*FILTRO_TLA1_canal=*amp*FLUJO=UNI,100,:UNI,0,:GFI,7,*amp*LISTA_CUENTAS_IS_INICIO=S*amp*REFVAL_SIMPLE_CLAVE_CONTINUACION_CUENTAS=2mOPDvGIP~jaY48O8Yg_6AAAAXXtvzKyDsc1K_SK_nk*amp*TIPO_LISTADO=T*amp*TIPUS_TRANSFERENCIA=ME*amp*IND_CONTINUACION=*amp*CLAU_CONTINUACION=*amp*PESTANA=TTU','bernat','2mOPDtw7B1vaY48O3DsHWwAAAXXtvAnL9Lwo0vxpEfI')" xr:uid="{39E0F61D-539D-47FC-8819-876E4E8DAEB9}"/>
  </hyperlinks>
  <printOptions horizontalCentered="1" verticalCentered="1"/>
  <pageMargins left="0.7" right="0.7" top="0.75" bottom="0.75" header="0.3" footer="0.3"/>
  <pageSetup paperSize="9" scale="83" orientation="landscape" r:id="rId3"/>
  <headerFooter differentFirst="1">
    <oddFooter>Page &amp;P of &amp;N</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671CF-D47A-481C-ABD4-FFD97872EA73}">
  <sheetPr>
    <tabColor theme="4"/>
  </sheetPr>
  <dimension ref="B1:J42"/>
  <sheetViews>
    <sheetView showGridLines="0" topLeftCell="A11" zoomScale="90" zoomScaleNormal="90" workbookViewId="0">
      <selection activeCell="D27" sqref="D27:E27"/>
    </sheetView>
  </sheetViews>
  <sheetFormatPr baseColWidth="10" defaultColWidth="8.88671875" defaultRowHeight="14.25"/>
  <cols>
    <col min="1" max="1" width="2.77734375" customWidth="1"/>
    <col min="2" max="2" width="18.44140625" customWidth="1"/>
    <col min="3" max="6" width="17.77734375" customWidth="1"/>
    <col min="7" max="7" width="14" customWidth="1"/>
    <col min="8" max="8" width="6.6640625" customWidth="1"/>
    <col min="9" max="9" width="2.77734375" customWidth="1"/>
    <col min="10" max="10" width="10.6640625" customWidth="1"/>
  </cols>
  <sheetData>
    <row r="1" spans="2:8" ht="59.25" customHeight="1">
      <c r="B1" s="25" t="str">
        <f>"Abril "&amp;Acalendario</f>
        <v>Abril 2024</v>
      </c>
      <c r="C1" s="11"/>
      <c r="D1" s="11"/>
      <c r="E1" s="12"/>
      <c r="F1" s="12"/>
      <c r="G1" s="12"/>
      <c r="H1" s="26"/>
    </row>
    <row r="2" spans="2:8" ht="21.75" customHeight="1">
      <c r="B2" s="5" t="str">
        <f>IF(InicioDeSemana="DOMINGO", "DOMINGO","LUNES")</f>
        <v>LUNES</v>
      </c>
      <c r="C2" s="5" t="str">
        <f t="shared" ref="C2:H2" si="0">UPPER(TEXT(C3,"dddd"))</f>
        <v>MARTES</v>
      </c>
      <c r="D2" s="5" t="str">
        <f t="shared" si="0"/>
        <v>MIÉRCOLES</v>
      </c>
      <c r="E2" s="5" t="str">
        <f t="shared" si="0"/>
        <v>JUEVES</v>
      </c>
      <c r="F2" s="5" t="str">
        <f t="shared" si="0"/>
        <v>VIERNES</v>
      </c>
      <c r="G2" s="5" t="str">
        <f t="shared" si="0"/>
        <v>SÁBADO</v>
      </c>
      <c r="H2" s="5" t="str">
        <f t="shared" si="0"/>
        <v>DOMINGO</v>
      </c>
    </row>
    <row r="3" spans="2:8" ht="19.5" customHeight="1">
      <c r="B3" s="59">
        <f t="array" ref="B3:H3">DaysAndWeeks+DATE(Acalendario,4,1)-WEEKDAY(DATE(Acalendario,4,1),(InicioDeSemana="LUNES")+1)+1</f>
        <v>45383</v>
      </c>
      <c r="C3" s="59">
        <v>45384</v>
      </c>
      <c r="D3" s="59">
        <v>45385</v>
      </c>
      <c r="E3" s="59">
        <v>45386</v>
      </c>
      <c r="F3" s="59">
        <v>45387</v>
      </c>
      <c r="G3" s="59">
        <v>45388</v>
      </c>
      <c r="H3" s="59">
        <v>45389</v>
      </c>
    </row>
    <row r="4" spans="2:8" ht="57.95" customHeight="1">
      <c r="B4" s="59" t="s">
        <v>31</v>
      </c>
      <c r="C4" s="116" t="s">
        <v>127</v>
      </c>
      <c r="D4" s="118" t="s">
        <v>112</v>
      </c>
      <c r="E4" s="117" t="s">
        <v>114</v>
      </c>
      <c r="F4" s="117" t="s">
        <v>58</v>
      </c>
      <c r="G4" s="59" t="s">
        <v>67</v>
      </c>
      <c r="H4" s="59"/>
    </row>
    <row r="5" spans="2:8" ht="57.95" customHeight="1">
      <c r="B5" s="96"/>
      <c r="C5" s="96" t="s">
        <v>27</v>
      </c>
      <c r="D5" s="96" t="s">
        <v>87</v>
      </c>
      <c r="E5" s="97" t="s">
        <v>71</v>
      </c>
      <c r="F5" s="97" t="s">
        <v>40</v>
      </c>
      <c r="G5" s="79"/>
      <c r="H5" s="79"/>
    </row>
    <row r="6" spans="2:8" ht="19.5" customHeight="1">
      <c r="B6" s="60">
        <f t="array" ref="B6:H6">DaysAndWeeks+DATE(Acalendario,4,1)-WEEKDAY(DATE(Acalendario,4,1),(InicioDeSemana="LUNES")+1)+8</f>
        <v>45390</v>
      </c>
      <c r="C6" s="60">
        <v>45391</v>
      </c>
      <c r="D6" s="60">
        <v>45392</v>
      </c>
      <c r="E6" s="60">
        <v>45393</v>
      </c>
      <c r="F6" s="60">
        <v>45394</v>
      </c>
      <c r="G6" s="60">
        <v>45395</v>
      </c>
      <c r="H6" s="60">
        <v>45396</v>
      </c>
    </row>
    <row r="7" spans="2:8" ht="57.95" customHeight="1">
      <c r="B7" s="117" t="s">
        <v>113</v>
      </c>
      <c r="C7" s="116" t="s">
        <v>121</v>
      </c>
      <c r="D7" s="118" t="s">
        <v>118</v>
      </c>
      <c r="E7" s="117" t="s">
        <v>119</v>
      </c>
      <c r="F7" s="117" t="s">
        <v>105</v>
      </c>
      <c r="G7" s="60" t="s">
        <v>117</v>
      </c>
      <c r="H7" s="60"/>
    </row>
    <row r="8" spans="2:8" ht="32.25" customHeight="1">
      <c r="B8" s="97" t="s">
        <v>27</v>
      </c>
      <c r="C8" s="96" t="s">
        <v>27</v>
      </c>
      <c r="D8" s="96" t="s">
        <v>87</v>
      </c>
      <c r="E8" s="97" t="s">
        <v>71</v>
      </c>
      <c r="F8" s="97" t="s">
        <v>40</v>
      </c>
      <c r="G8" s="97"/>
      <c r="H8" s="75"/>
    </row>
    <row r="9" spans="2:8" ht="19.5" customHeight="1">
      <c r="B9" s="59">
        <f t="array" ref="B9:H9">DaysAndWeeks+DATE(Acalendario,4,1)-WEEKDAY(DATE(Acalendario,4,1),(InicioDeSemana="LUNES")+1)+15</f>
        <v>45397</v>
      </c>
      <c r="C9" s="59">
        <v>45398</v>
      </c>
      <c r="D9" s="59">
        <v>45399</v>
      </c>
      <c r="E9" s="59">
        <v>45400</v>
      </c>
      <c r="F9" s="59">
        <v>45401</v>
      </c>
      <c r="G9" s="59">
        <v>45402</v>
      </c>
      <c r="H9" s="59">
        <v>45403</v>
      </c>
    </row>
    <row r="10" spans="2:8" ht="57.95" customHeight="1">
      <c r="B10" s="117" t="s">
        <v>116</v>
      </c>
      <c r="C10" s="116" t="s">
        <v>121</v>
      </c>
      <c r="D10" s="118" t="s">
        <v>120</v>
      </c>
      <c r="E10" s="117" t="s">
        <v>119</v>
      </c>
      <c r="F10" s="117" t="s">
        <v>105</v>
      </c>
      <c r="G10" s="59" t="s">
        <v>67</v>
      </c>
      <c r="H10" s="59"/>
    </row>
    <row r="11" spans="2:8" ht="30.75" customHeight="1">
      <c r="B11" s="96" t="s">
        <v>27</v>
      </c>
      <c r="C11" s="96" t="s">
        <v>27</v>
      </c>
      <c r="D11" s="96" t="s">
        <v>87</v>
      </c>
      <c r="E11" s="97" t="s">
        <v>71</v>
      </c>
      <c r="F11" s="97" t="s">
        <v>40</v>
      </c>
      <c r="G11" s="96"/>
      <c r="H11" s="79"/>
    </row>
    <row r="12" spans="2:8" ht="19.5" customHeight="1">
      <c r="B12" s="60">
        <f t="array" ref="B12:H12">DaysAndWeeks+DATE(Acalendario,4,1)-WEEKDAY(DATE(Acalendario,4,1),(InicioDeSemana="LUNES")+1)+22</f>
        <v>45404</v>
      </c>
      <c r="C12" s="60">
        <v>45405</v>
      </c>
      <c r="D12" s="60">
        <v>45406</v>
      </c>
      <c r="E12" s="60">
        <v>45407</v>
      </c>
      <c r="F12" s="60">
        <v>45408</v>
      </c>
      <c r="G12" s="60">
        <v>45409</v>
      </c>
      <c r="H12" s="60">
        <v>45410</v>
      </c>
    </row>
    <row r="13" spans="2:8" ht="57.95" customHeight="1">
      <c r="B13" s="117" t="s">
        <v>115</v>
      </c>
      <c r="C13" s="116" t="s">
        <v>135</v>
      </c>
      <c r="D13" s="118" t="s">
        <v>126</v>
      </c>
      <c r="E13" s="117" t="s">
        <v>119</v>
      </c>
      <c r="F13" s="117" t="s">
        <v>105</v>
      </c>
      <c r="G13" s="60" t="s">
        <v>67</v>
      </c>
      <c r="H13" s="60"/>
    </row>
    <row r="14" spans="2:8" ht="33.75" customHeight="1">
      <c r="B14" s="97" t="s">
        <v>34</v>
      </c>
      <c r="C14" s="97" t="s">
        <v>27</v>
      </c>
      <c r="D14" s="96" t="s">
        <v>87</v>
      </c>
      <c r="E14" s="97" t="s">
        <v>71</v>
      </c>
      <c r="F14" s="97" t="s">
        <v>40</v>
      </c>
      <c r="G14" s="97"/>
      <c r="H14" s="75"/>
    </row>
    <row r="15" spans="2:8" ht="19.5" customHeight="1">
      <c r="B15" s="59">
        <f t="array" ref="B15:H15">DaysAndWeeks+DATE(Acalendario,4,1)-WEEKDAY(DATE(Acalendario,4,1),(InicioDeSemana="LUNES")+1)+29</f>
        <v>45411</v>
      </c>
      <c r="C15" s="59">
        <v>45412</v>
      </c>
      <c r="D15" s="59">
        <v>45413</v>
      </c>
      <c r="E15" s="59">
        <v>45414</v>
      </c>
      <c r="F15" s="59">
        <v>45415</v>
      </c>
      <c r="G15" s="59">
        <v>45416</v>
      </c>
      <c r="H15" s="59">
        <v>45417</v>
      </c>
    </row>
    <row r="16" spans="2:8" ht="57.95" customHeight="1">
      <c r="B16" s="117" t="s">
        <v>115</v>
      </c>
      <c r="C16" s="116" t="s">
        <v>122</v>
      </c>
      <c r="D16" s="59"/>
      <c r="E16" s="59"/>
      <c r="F16" s="59"/>
      <c r="G16" s="59"/>
      <c r="H16" s="59"/>
    </row>
    <row r="17" spans="2:8" ht="36.75" customHeight="1">
      <c r="B17" s="79" t="s">
        <v>34</v>
      </c>
      <c r="C17" s="97" t="s">
        <v>27</v>
      </c>
      <c r="D17" s="79"/>
      <c r="E17" s="79"/>
      <c r="F17" s="79"/>
      <c r="G17" s="79"/>
      <c r="H17" s="79"/>
    </row>
    <row r="24" spans="2:8">
      <c r="E24" s="107"/>
      <c r="F24" s="67" t="s">
        <v>6</v>
      </c>
      <c r="G24" s="123" t="s">
        <v>124</v>
      </c>
    </row>
    <row r="25" spans="2:8">
      <c r="D25" s="282" t="s">
        <v>8</v>
      </c>
      <c r="E25" s="282"/>
      <c r="F25" s="67" t="s">
        <v>9</v>
      </c>
      <c r="G25" s="67">
        <f>COUNTIF((B4:H17),"*estel*")</f>
        <v>6</v>
      </c>
      <c r="H25" s="81">
        <f>G25*18</f>
        <v>108</v>
      </c>
    </row>
    <row r="26" spans="2:8">
      <c r="D26" s="282" t="s">
        <v>12</v>
      </c>
      <c r="E26" s="282"/>
      <c r="F26" s="67" t="s">
        <v>13</v>
      </c>
      <c r="G26" s="67">
        <f>COUNTIF((B4:H16),"*bernat*")</f>
        <v>25</v>
      </c>
      <c r="H26" s="81">
        <f>G26*20</f>
        <v>500</v>
      </c>
    </row>
    <row r="27" spans="2:8">
      <c r="D27" s="282" t="s">
        <v>14</v>
      </c>
      <c r="E27" s="282"/>
      <c r="F27" s="67" t="s">
        <v>15</v>
      </c>
      <c r="G27" s="67">
        <f>COUNTIF((B3:H17),"*pati*")</f>
        <v>4</v>
      </c>
      <c r="H27" s="81">
        <f>G27*18</f>
        <v>72</v>
      </c>
    </row>
    <row r="28" spans="2:8">
      <c r="D28" s="282" t="s">
        <v>16</v>
      </c>
      <c r="E28" s="282"/>
      <c r="F28" s="67" t="s">
        <v>17</v>
      </c>
      <c r="G28" s="67">
        <f>COUNTIF((B4:H17),"*mario*")</f>
        <v>32</v>
      </c>
      <c r="H28" s="81">
        <f>G28*20</f>
        <v>640</v>
      </c>
    </row>
    <row r="29" spans="2:8">
      <c r="D29" s="283" t="s">
        <v>95</v>
      </c>
      <c r="E29" s="284"/>
      <c r="F29" s="113" t="s">
        <v>90</v>
      </c>
      <c r="G29" s="67">
        <f>COUNTIF((B3:H18),"*nuria*")</f>
        <v>15</v>
      </c>
      <c r="H29" s="81">
        <f>12*18+75</f>
        <v>291</v>
      </c>
    </row>
    <row r="30" spans="2:8">
      <c r="D30" s="285" t="s">
        <v>76</v>
      </c>
      <c r="E30" s="286"/>
      <c r="F30" s="110" t="s">
        <v>19</v>
      </c>
      <c r="G30" s="67">
        <f>COUNTIF((B3:H19),"*hector*")</f>
        <v>11</v>
      </c>
      <c r="H30" s="111">
        <f>G30*10</f>
        <v>110</v>
      </c>
    </row>
    <row r="31" spans="2:8">
      <c r="D31" s="88"/>
      <c r="E31" s="107" t="s">
        <v>18</v>
      </c>
      <c r="F31" s="67" t="s">
        <v>25</v>
      </c>
      <c r="G31" s="67">
        <f>COUNTIF((B3:H20),"*cristina*")</f>
        <v>8</v>
      </c>
      <c r="H31" s="81">
        <f>G31*10</f>
        <v>80</v>
      </c>
    </row>
    <row r="32" spans="2:8">
      <c r="D32" s="88"/>
      <c r="E32" s="107" t="s">
        <v>18</v>
      </c>
      <c r="F32" s="67" t="s">
        <v>20</v>
      </c>
      <c r="G32" s="67">
        <f>COUNTIF((B4:H17),"*zaro*")</f>
        <v>20</v>
      </c>
      <c r="H32" s="81">
        <f>G32*18</f>
        <v>360</v>
      </c>
    </row>
    <row r="33" spans="4:10">
      <c r="D33" s="283" t="s">
        <v>59</v>
      </c>
      <c r="E33" s="284"/>
      <c r="F33" s="67" t="s">
        <v>21</v>
      </c>
      <c r="G33" s="67">
        <f>COUNTIF((B3:H17),"*nico*")</f>
        <v>8</v>
      </c>
      <c r="H33" s="81">
        <f>G33*15</f>
        <v>120</v>
      </c>
    </row>
    <row r="34" spans="4:10">
      <c r="D34" s="88"/>
      <c r="E34" s="107" t="s">
        <v>18</v>
      </c>
      <c r="F34" s="67" t="s">
        <v>26</v>
      </c>
      <c r="G34" s="67">
        <f>COUNTIF((B3:H17),"*carla*")</f>
        <v>2</v>
      </c>
      <c r="H34" s="81">
        <f>G34*10</f>
        <v>20</v>
      </c>
    </row>
    <row r="35" spans="4:10">
      <c r="D35" s="287" t="s">
        <v>33</v>
      </c>
      <c r="E35" s="287"/>
      <c r="F35" s="73" t="s">
        <v>23</v>
      </c>
      <c r="G35" s="67">
        <f>COUNTIF((B3:H16),"*candela*")</f>
        <v>25</v>
      </c>
      <c r="H35" s="81">
        <f>G35*18</f>
        <v>450</v>
      </c>
    </row>
    <row r="36" spans="4:10">
      <c r="D36" s="88"/>
      <c r="E36" s="66" t="s">
        <v>18</v>
      </c>
      <c r="F36" s="69" t="s">
        <v>24</v>
      </c>
      <c r="G36" s="67">
        <f>COUNTIF((B3:H16),"*ana*")</f>
        <v>17</v>
      </c>
      <c r="H36" s="81">
        <f>G36*18</f>
        <v>306</v>
      </c>
    </row>
    <row r="37" spans="4:10">
      <c r="D37" s="283" t="s">
        <v>83</v>
      </c>
      <c r="E37" s="282"/>
      <c r="F37" s="85" t="s">
        <v>36</v>
      </c>
      <c r="G37" s="67">
        <f>COUNTIF((B3:H17),"*raul*")</f>
        <v>17</v>
      </c>
      <c r="H37" s="81">
        <f>G37*15</f>
        <v>255</v>
      </c>
    </row>
    <row r="38" spans="4:10">
      <c r="D38" s="88"/>
      <c r="E38" s="99" t="s">
        <v>18</v>
      </c>
      <c r="F38" s="100" t="s">
        <v>47</v>
      </c>
      <c r="G38" s="67">
        <f>COUNTIF((B3:H17),"*miriam*")</f>
        <v>8</v>
      </c>
      <c r="H38" s="81">
        <f>G38*12</f>
        <v>96</v>
      </c>
    </row>
    <row r="39" spans="4:10">
      <c r="D39" s="283" t="s">
        <v>91</v>
      </c>
      <c r="E39" s="284"/>
      <c r="F39" s="108" t="s">
        <v>77</v>
      </c>
      <c r="G39" s="67">
        <f>COUNTIF((B3:H17),"*noa*")</f>
        <v>9</v>
      </c>
      <c r="H39" s="81">
        <f>G39*18</f>
        <v>162</v>
      </c>
      <c r="J39" t="s">
        <v>123</v>
      </c>
    </row>
    <row r="40" spans="4:10" ht="14.25" customHeight="1">
      <c r="D40" s="283" t="s">
        <v>89</v>
      </c>
      <c r="E40" s="283"/>
      <c r="F40" s="112" t="s">
        <v>88</v>
      </c>
      <c r="G40" s="67">
        <f>COUNTIF((B12:H29),"*cristina*")</f>
        <v>2</v>
      </c>
      <c r="H40" s="81">
        <v>460</v>
      </c>
      <c r="I40" t="s">
        <v>110</v>
      </c>
      <c r="J40">
        <v>51.5</v>
      </c>
    </row>
    <row r="41" spans="4:10">
      <c r="D41" s="283" t="s">
        <v>42</v>
      </c>
      <c r="E41" s="284"/>
      <c r="F41" s="121" t="s">
        <v>41</v>
      </c>
      <c r="G41" s="67">
        <f>COUNTIF((B3:H17),"*maria*")</f>
        <v>12</v>
      </c>
      <c r="H41" s="81">
        <f>9*18+75</f>
        <v>237</v>
      </c>
    </row>
    <row r="42" spans="4:10">
      <c r="D42" s="88"/>
      <c r="E42" s="77"/>
      <c r="F42" s="78" t="s">
        <v>28</v>
      </c>
      <c r="G42" s="77">
        <f>SUM(G25:G41)</f>
        <v>221</v>
      </c>
      <c r="H42" s="77">
        <f>SUM(H25:H41)</f>
        <v>4267</v>
      </c>
    </row>
  </sheetData>
  <mergeCells count="12">
    <mergeCell ref="D25:E25"/>
    <mergeCell ref="D26:E26"/>
    <mergeCell ref="D27:E27"/>
    <mergeCell ref="D37:E37"/>
    <mergeCell ref="D39:E39"/>
    <mergeCell ref="D40:E40"/>
    <mergeCell ref="D41:E41"/>
    <mergeCell ref="D28:E28"/>
    <mergeCell ref="D29:E29"/>
    <mergeCell ref="D30:E30"/>
    <mergeCell ref="D33:E33"/>
    <mergeCell ref="D35:E35"/>
  </mergeCells>
  <conditionalFormatting sqref="B3:G3">
    <cfRule type="expression" dxfId="13" priority="2">
      <formula>DAY(B3)&gt;8</formula>
    </cfRule>
  </conditionalFormatting>
  <conditionalFormatting sqref="B15:H15">
    <cfRule type="expression" dxfId="12" priority="3">
      <formula>AND(DAY(B15)&gt;=1,DAY(B15)&lt;=15)</formula>
    </cfRule>
  </conditionalFormatting>
  <dataValidations count="7">
    <dataValidation allowBlank="1" showInputMessage="1" showErrorMessage="1" prompt="Esta fila y las filas 5, 7, 9, 11 y 13 contienen días naturales de la semana. Si esta celda no contiene el número 1, se trata de un día del mes anterior. Escriba notas en la celda E13." sqref="B3" xr:uid="{BAAB4E61-666B-4442-B32F-BBC1F3DC0858}"/>
    <dataValidation allowBlank="1" showInputMessage="1" showErrorMessage="1" prompt="El año en esta celda se actualiza automáticamente. Seleccione otro año en la celda K3 de la hoja de cálculo Enero para cambiar el año" sqref="C1" xr:uid="{62BAACF4-289F-42CD-B701-735B40608AE0}"/>
    <dataValidation allowBlank="1" showInputMessage="1" showErrorMessage="1" prompt="Las celdas de esta fila y las filas 6, 8, 10, 12 y 14 son para escribir notas diarias relacionadas con el día natural de la celda anterior." sqref="B4:B5" xr:uid="{05064BA4-0AE4-409A-B962-2736C06135AD}"/>
    <dataValidation allowBlank="1" showInputMessage="1" showErrorMessage="1" prompt="Calendario del mes de abril" sqref="A1" xr:uid="{BFF8E038-7395-426C-884D-044AADE8825D}"/>
    <dataValidation allowBlank="1" showInputMessage="1" showErrorMessage="1" prompt="Esta fila contiene los nombres de los días laborables de este calendario. Esta celda contiene el día de inicio de la semana. Para cambiar el día de inicio, escriba un nuevo día laborable en la celda K4 de la hoja de cálculo Enero." sqref="B2" xr:uid="{65EEF9E0-3BED-4A29-A9D5-0C9D9A08B546}"/>
    <dataValidation allowBlank="1" showErrorMessage="1" prompt="El año de esta celda se actualiza automáticamente según el año especificado en la hoja de cálculo de Enero. El calendario siguiente incluye fechas de los meses anterior y posterior con un sombreado de fuente más claro." sqref="B1" xr:uid="{D1BF0FA8-AB90-4C40-8318-5DB93418452C}"/>
    <dataValidation allowBlank="1" showInputMessage="1" showErrorMessage="1" prompt="El día de la semana se determinará automáticamente" sqref="C2:H2" xr:uid="{F2071AA1-F6F6-4910-AD41-CE2B6A792ED1}"/>
  </dataValidations>
  <hyperlinks>
    <hyperlink ref="D26" r:id="rId1" display="javascript:envioPeticionOpcion(1, 'ME','2mOPDtwhtSfaY48O3CG1JwAAAXXtvAnM2FkdViqMup8','N','*amp*FILTRO_TLA1=N*amp*FILTRO_TLA1_contracteCarrec=*amp*FILTRO_TLA1_referenciaUnica=*amp*FILTRO_TLA1_contracteAbon=*amp*FILTRO_TLA1_indContracteAbon=*amp*TIPUS_CONSULTA=*amp*FILTRO_TLA1_codiDivisa=*amp*FILTRO_TLA1_indicadorEfectiu=*amp*FILTRO_TLA1_oficina=*amp*FILTRO_TLA1_entitat=*amp*FILTRO_TLA1_codiEntitat=*amp*FILTRO_TLA1_importInicial=*amp*FILTRO_TLA1_importFinal=*amp*FILTRO_TLA1_dataInici=*amp*FILTRO_TLA1_dataFin=*amp*FILTRO_TLA1_estat=*amp*FILTRO_TLA1_canal=*amp*FLUJO=UNI,100,:UNI,0,:GFI,7,*amp*LISTA_CUENTAS_IS_INICIO=S*amp*REFVAL_SIMPLE_CLAVE_CONTINUACION_CUENTAS=2mOPDvGIP~jaY48O8Yg_6AAAAXXtvzKyDsc1K_SK_nk*amp*TIPO_LISTADO=T*amp*TIPUS_TRANSFERENCIA=ME*amp*IND_CONTINUACION=*amp*CLAU_CONTINUACION=*amp*PESTANA=TTU','bernat','2mOPDtw7B1vaY48O3DsHWwAAAXXtvAnL9Lwo0vxpEfI')" xr:uid="{0EB915C6-240B-47BB-BD11-10EA53F915D8}"/>
  </hyperlinks>
  <printOptions horizontalCentered="1" verticalCentered="1"/>
  <pageMargins left="0.25" right="0.25" top="0.75" bottom="0.75" header="0.3" footer="0.3"/>
  <pageSetup paperSize="9" fitToWidth="0" orientation="landscape" r:id="rId2"/>
  <headerFooter differentFirst="1">
    <oddFooter>Page &amp;P of &amp;N</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75DCC-E7CA-48F6-BCC2-BC388B86EBA0}">
  <sheetPr>
    <tabColor theme="7" tint="0.59999389629810485"/>
    <pageSetUpPr fitToPage="1"/>
  </sheetPr>
  <dimension ref="B1:M41"/>
  <sheetViews>
    <sheetView showGridLines="0" topLeftCell="A14" zoomScale="90" zoomScaleNormal="90" workbookViewId="0">
      <selection activeCell="M33" sqref="M33"/>
    </sheetView>
  </sheetViews>
  <sheetFormatPr baseColWidth="10" defaultColWidth="8.88671875" defaultRowHeight="14.25"/>
  <cols>
    <col min="1" max="1" width="2.77734375" customWidth="1"/>
    <col min="2" max="2" width="18.44140625" customWidth="1"/>
    <col min="3" max="8" width="17.77734375" customWidth="1"/>
    <col min="9" max="9" width="2.77734375" customWidth="1"/>
    <col min="10" max="10" width="10.6640625" customWidth="1"/>
    <col min="13" max="13" width="28.21875" customWidth="1"/>
  </cols>
  <sheetData>
    <row r="1" spans="2:8" ht="59.25" customHeight="1">
      <c r="B1" s="17" t="str">
        <f>"Junio "&amp;Acalendario</f>
        <v>Junio 2024</v>
      </c>
      <c r="C1" s="18"/>
      <c r="D1" s="18"/>
      <c r="E1" s="19"/>
      <c r="F1" s="19"/>
      <c r="G1" s="19"/>
      <c r="H1" s="20"/>
    </row>
    <row r="2" spans="2:8" ht="21.75" customHeight="1">
      <c r="B2" s="5" t="str">
        <f>IF(InicioDeSemana="DOMINGO", "DOMINGO","LUNES")</f>
        <v>LUNES</v>
      </c>
      <c r="C2" s="5" t="str">
        <f t="shared" ref="C2:H2" si="0">UPPER(TEXT(C3,"dddd"))</f>
        <v>MARTES</v>
      </c>
      <c r="D2" s="5" t="str">
        <f t="shared" si="0"/>
        <v>MIÉRCOLES</v>
      </c>
      <c r="E2" s="5" t="str">
        <f t="shared" si="0"/>
        <v>JUEVES</v>
      </c>
      <c r="F2" s="5" t="str">
        <f t="shared" si="0"/>
        <v>VIERNES</v>
      </c>
      <c r="G2" s="5" t="str">
        <f t="shared" si="0"/>
        <v>SÁBADO</v>
      </c>
      <c r="H2" s="5" t="str">
        <f t="shared" si="0"/>
        <v>DOMINGO</v>
      </c>
    </row>
    <row r="3" spans="2:8" ht="19.5" customHeight="1">
      <c r="B3" s="59">
        <f t="array" ref="B3:H3">DaysAndWeeks+DATE(Acalendario,6,1)-WEEKDAY(DATE(Acalendario,6,1),(InicioDeSemana="LUNES")+1)+1</f>
        <v>45439</v>
      </c>
      <c r="C3" s="59">
        <v>45440</v>
      </c>
      <c r="D3" s="59">
        <v>45441</v>
      </c>
      <c r="E3" s="59">
        <v>45442</v>
      </c>
      <c r="F3" s="59">
        <v>45443</v>
      </c>
      <c r="G3" s="59">
        <v>45444</v>
      </c>
      <c r="H3" s="59">
        <v>45445</v>
      </c>
    </row>
    <row r="4" spans="2:8" ht="57.95" customHeight="1">
      <c r="B4" s="59"/>
      <c r="C4" s="59"/>
      <c r="D4" s="59"/>
      <c r="E4" s="59"/>
      <c r="F4" s="59"/>
      <c r="G4" s="59" t="s">
        <v>136</v>
      </c>
      <c r="H4" s="59"/>
    </row>
    <row r="5" spans="2:8" ht="19.5" customHeight="1">
      <c r="B5" s="60">
        <f t="array" ref="B5:H5">DaysAndWeeks+DATE(Acalendario,6,1)-WEEKDAY(DATE(Acalendario,6,1),(InicioDeSemana="LUNES")+1)+8</f>
        <v>45446</v>
      </c>
      <c r="C5" s="60">
        <v>45447</v>
      </c>
      <c r="D5" s="60">
        <v>45448</v>
      </c>
      <c r="E5" s="60">
        <v>45449</v>
      </c>
      <c r="F5" s="60">
        <v>45450</v>
      </c>
      <c r="G5" s="60">
        <v>45451</v>
      </c>
      <c r="H5" s="60">
        <v>45452</v>
      </c>
    </row>
    <row r="6" spans="2:8" ht="57.95" customHeight="1">
      <c r="B6" s="117" t="s">
        <v>144</v>
      </c>
      <c r="C6" s="116" t="s">
        <v>137</v>
      </c>
      <c r="D6" s="118" t="s">
        <v>146</v>
      </c>
      <c r="E6" s="117" t="s">
        <v>148</v>
      </c>
      <c r="F6" s="117" t="s">
        <v>145</v>
      </c>
      <c r="G6" s="60" t="s">
        <v>136</v>
      </c>
      <c r="H6" s="60"/>
    </row>
    <row r="7" spans="2:8" ht="57.95" customHeight="1">
      <c r="B7" s="126" t="s">
        <v>27</v>
      </c>
      <c r="C7" s="126" t="s">
        <v>142</v>
      </c>
      <c r="D7" s="96" t="s">
        <v>87</v>
      </c>
      <c r="E7" s="97" t="s">
        <v>71</v>
      </c>
      <c r="F7" s="97" t="s">
        <v>132</v>
      </c>
      <c r="G7" s="60"/>
      <c r="H7" s="60"/>
    </row>
    <row r="8" spans="2:8" ht="19.5" customHeight="1">
      <c r="B8" s="59">
        <f t="array" ref="B8:H8">DaysAndWeeks+DATE(Acalendario,6,1)-WEEKDAY(DATE(Acalendario,6,1),(InicioDeSemana="LUNES")+1)+15</f>
        <v>45453</v>
      </c>
      <c r="C8" s="59">
        <v>45454</v>
      </c>
      <c r="D8" s="59">
        <v>45455</v>
      </c>
      <c r="E8" s="59">
        <v>45456</v>
      </c>
      <c r="F8" s="59">
        <v>45457</v>
      </c>
      <c r="G8" s="59">
        <v>45458</v>
      </c>
      <c r="H8" s="59">
        <v>45459</v>
      </c>
    </row>
    <row r="9" spans="2:8" ht="57.95" customHeight="1">
      <c r="B9" s="117" t="s">
        <v>147</v>
      </c>
      <c r="C9" s="116" t="s">
        <v>137</v>
      </c>
      <c r="D9" s="118" t="s">
        <v>146</v>
      </c>
      <c r="E9" s="117" t="s">
        <v>139</v>
      </c>
      <c r="F9" s="117" t="s">
        <v>140</v>
      </c>
      <c r="G9" s="59" t="s">
        <v>136</v>
      </c>
      <c r="H9" s="59"/>
    </row>
    <row r="10" spans="2:8" ht="57.95" customHeight="1">
      <c r="B10" s="126" t="s">
        <v>27</v>
      </c>
      <c r="C10" s="126" t="s">
        <v>142</v>
      </c>
      <c r="D10" s="96" t="s">
        <v>87</v>
      </c>
      <c r="E10" s="97" t="s">
        <v>71</v>
      </c>
      <c r="F10" s="97" t="s">
        <v>132</v>
      </c>
      <c r="G10" s="59"/>
      <c r="H10" s="59"/>
    </row>
    <row r="11" spans="2:8" ht="19.5" customHeight="1">
      <c r="B11" s="60">
        <f t="array" ref="B11:H11">DaysAndWeeks+DATE(Acalendario,6,1)-WEEKDAY(DATE(Acalendario,6,1),(InicioDeSemana="LUNES")+1)+22</f>
        <v>45460</v>
      </c>
      <c r="C11" s="60">
        <v>45461</v>
      </c>
      <c r="D11" s="60">
        <v>45462</v>
      </c>
      <c r="E11" s="60">
        <v>45463</v>
      </c>
      <c r="F11" s="60">
        <v>45464</v>
      </c>
      <c r="G11" s="60">
        <v>45465</v>
      </c>
      <c r="H11" s="60">
        <v>45466</v>
      </c>
    </row>
    <row r="12" spans="2:8" ht="57.95" customHeight="1">
      <c r="B12" s="117" t="s">
        <v>141</v>
      </c>
      <c r="C12" s="116" t="s">
        <v>137</v>
      </c>
      <c r="D12" s="118" t="s">
        <v>138</v>
      </c>
      <c r="E12" s="117" t="s">
        <v>139</v>
      </c>
      <c r="F12" s="117" t="s">
        <v>140</v>
      </c>
      <c r="G12" s="60"/>
      <c r="H12" s="60"/>
    </row>
    <row r="13" spans="2:8" ht="57.95" customHeight="1">
      <c r="B13" s="126" t="s">
        <v>27</v>
      </c>
      <c r="C13" s="126" t="s">
        <v>142</v>
      </c>
      <c r="D13" s="96" t="s">
        <v>87</v>
      </c>
      <c r="E13" s="97" t="s">
        <v>71</v>
      </c>
      <c r="F13" s="97" t="s">
        <v>132</v>
      </c>
      <c r="G13" s="60"/>
      <c r="H13" s="60"/>
    </row>
    <row r="14" spans="2:8" ht="19.5" customHeight="1">
      <c r="B14" s="59">
        <f t="array" ref="B14:H14">DaysAndWeeks+DATE(Acalendario,6,1)-WEEKDAY(DATE(Acalendario,6,1),(InicioDeSemana="LUNES")+1)+29</f>
        <v>45467</v>
      </c>
      <c r="C14" s="59">
        <v>45468</v>
      </c>
      <c r="D14" s="59">
        <v>45469</v>
      </c>
      <c r="E14" s="59">
        <v>45470</v>
      </c>
      <c r="F14" s="59">
        <v>45471</v>
      </c>
      <c r="G14" s="59">
        <v>45472</v>
      </c>
      <c r="H14" s="59">
        <v>45473</v>
      </c>
    </row>
    <row r="15" spans="2:8" ht="57.95" customHeight="1">
      <c r="B15" s="59"/>
      <c r="C15" s="59"/>
      <c r="D15" s="59"/>
      <c r="E15" s="59"/>
      <c r="F15" s="59"/>
      <c r="G15" s="59"/>
      <c r="H15" s="59"/>
    </row>
    <row r="16" spans="2:8" ht="19.5" customHeight="1">
      <c r="B16" s="60">
        <f t="array" ref="B16:C16">DaysAndWeeks+DATE(Acalendario,6,1)-WEEKDAY(DATE(Acalendario,6,1),(InicioDeSemana="LUNES")+1)+36</f>
        <v>45474</v>
      </c>
      <c r="C16" s="60">
        <v>45475</v>
      </c>
      <c r="D16" s="63" t="s">
        <v>0</v>
      </c>
      <c r="E16" s="251"/>
      <c r="F16" s="251"/>
      <c r="G16" s="251"/>
      <c r="H16" s="252"/>
    </row>
    <row r="17" spans="2:13" ht="57.95" customHeight="1">
      <c r="B17" s="60"/>
      <c r="C17" s="60"/>
      <c r="D17" s="7"/>
      <c r="E17" s="253"/>
      <c r="F17" s="253"/>
      <c r="G17" s="253"/>
      <c r="H17" s="254"/>
    </row>
    <row r="25" spans="2:13">
      <c r="E25" s="107"/>
      <c r="F25" s="67" t="s">
        <v>6</v>
      </c>
      <c r="G25" s="129" t="s">
        <v>143</v>
      </c>
    </row>
    <row r="26" spans="2:13">
      <c r="D26" s="282" t="s">
        <v>8</v>
      </c>
      <c r="E26" s="282"/>
      <c r="F26" s="67" t="s">
        <v>9</v>
      </c>
      <c r="G26" s="67">
        <f>COUNTIF((B3:H15),"*estel*")</f>
        <v>6</v>
      </c>
      <c r="H26" s="81">
        <f>G26*18</f>
        <v>108</v>
      </c>
      <c r="L26" t="s">
        <v>149</v>
      </c>
      <c r="M26" s="81" t="s">
        <v>157</v>
      </c>
    </row>
    <row r="27" spans="2:13">
      <c r="D27" s="282" t="s">
        <v>12</v>
      </c>
      <c r="E27" s="282"/>
      <c r="F27" s="67" t="s">
        <v>13</v>
      </c>
      <c r="G27" s="67">
        <f>COUNTIF((B4:H16),"*bernat*")</f>
        <v>15</v>
      </c>
      <c r="H27" s="81">
        <f>G27*20</f>
        <v>300</v>
      </c>
      <c r="L27" t="s">
        <v>150</v>
      </c>
      <c r="M27" s="81" t="s">
        <v>166</v>
      </c>
    </row>
    <row r="28" spans="2:13">
      <c r="D28" s="282" t="s">
        <v>14</v>
      </c>
      <c r="E28" s="282"/>
      <c r="F28" s="67" t="s">
        <v>15</v>
      </c>
      <c r="G28" s="67">
        <f>COUNTIF((B3:H16),"*pati*")</f>
        <v>1</v>
      </c>
      <c r="H28" s="81">
        <f>G28*18</f>
        <v>18</v>
      </c>
      <c r="L28" t="s">
        <v>151</v>
      </c>
      <c r="M28" s="81" t="s">
        <v>158</v>
      </c>
    </row>
    <row r="29" spans="2:13">
      <c r="D29" s="282" t="s">
        <v>16</v>
      </c>
      <c r="E29" s="282"/>
      <c r="F29" s="128" t="s">
        <v>17</v>
      </c>
      <c r="G29" s="67">
        <f>COUNTIF((B3:H18),"*mario*")</f>
        <v>12</v>
      </c>
      <c r="H29" s="81">
        <f>G29*20</f>
        <v>240</v>
      </c>
      <c r="L29" t="s">
        <v>152</v>
      </c>
      <c r="M29" s="81" t="s">
        <v>159</v>
      </c>
    </row>
    <row r="30" spans="2:13">
      <c r="D30" s="283" t="s">
        <v>95</v>
      </c>
      <c r="E30" s="284"/>
      <c r="F30" s="113" t="s">
        <v>90</v>
      </c>
      <c r="G30" s="67">
        <f>COUNTIF((B7:H19),"*nuria*")</f>
        <v>12</v>
      </c>
      <c r="H30" s="81">
        <f>16*18+100</f>
        <v>388</v>
      </c>
      <c r="L30" t="s">
        <v>153</v>
      </c>
      <c r="M30" s="81" t="s">
        <v>160</v>
      </c>
    </row>
    <row r="31" spans="2:13">
      <c r="D31" s="285" t="s">
        <v>76</v>
      </c>
      <c r="E31" s="286"/>
      <c r="F31" s="110" t="s">
        <v>19</v>
      </c>
      <c r="G31" s="67">
        <f>COUNTIF((B3:H20),"*hector*")</f>
        <v>4</v>
      </c>
      <c r="H31" s="111">
        <f>G31*10</f>
        <v>40</v>
      </c>
      <c r="L31" t="s">
        <v>154</v>
      </c>
      <c r="M31" s="81" t="s">
        <v>162</v>
      </c>
    </row>
    <row r="32" spans="2:13">
      <c r="D32" s="88"/>
      <c r="E32" s="107" t="s">
        <v>18</v>
      </c>
      <c r="F32" s="67" t="s">
        <v>25</v>
      </c>
      <c r="G32" s="67">
        <f>COUNTIF((B3:H15),"*cristina*")</f>
        <v>5</v>
      </c>
      <c r="H32" s="81">
        <f>G32*10</f>
        <v>50</v>
      </c>
      <c r="L32" t="s">
        <v>155</v>
      </c>
      <c r="M32" s="81" t="s">
        <v>163</v>
      </c>
    </row>
    <row r="33" spans="4:13">
      <c r="D33" s="88"/>
      <c r="E33" s="107" t="s">
        <v>18</v>
      </c>
      <c r="F33" s="67" t="s">
        <v>20</v>
      </c>
      <c r="G33" s="67">
        <f>COUNTIF((B4:H15),"*zaro*")</f>
        <v>12</v>
      </c>
      <c r="H33" s="81">
        <f>G33*18</f>
        <v>216</v>
      </c>
      <c r="L33" t="s">
        <v>156</v>
      </c>
      <c r="M33" s="81" t="s">
        <v>161</v>
      </c>
    </row>
    <row r="34" spans="4:13">
      <c r="D34" s="283" t="s">
        <v>59</v>
      </c>
      <c r="E34" s="284"/>
      <c r="F34" s="67" t="s">
        <v>21</v>
      </c>
      <c r="G34" s="67">
        <f>COUNTIF((B3:H15),"*nico*")</f>
        <v>3</v>
      </c>
      <c r="H34" s="81">
        <f>G34*15</f>
        <v>45</v>
      </c>
      <c r="L34" t="s">
        <v>164</v>
      </c>
      <c r="M34" s="81" t="s">
        <v>165</v>
      </c>
    </row>
    <row r="35" spans="4:13">
      <c r="D35" s="88"/>
      <c r="E35" s="107" t="s">
        <v>18</v>
      </c>
      <c r="F35" s="67" t="s">
        <v>26</v>
      </c>
      <c r="G35" s="67">
        <f>COUNTIF((B3:H17),"*carla*")</f>
        <v>2</v>
      </c>
      <c r="H35" s="81">
        <f>G35*10</f>
        <v>20</v>
      </c>
      <c r="L35" t="s">
        <v>167</v>
      </c>
      <c r="M35" s="81" t="s">
        <v>168</v>
      </c>
    </row>
    <row r="36" spans="4:13">
      <c r="D36" s="287" t="s">
        <v>33</v>
      </c>
      <c r="E36" s="287"/>
      <c r="F36" s="73" t="s">
        <v>23</v>
      </c>
      <c r="G36" s="67">
        <f>COUNTIF((B2:H15),"*candela*")</f>
        <v>15</v>
      </c>
      <c r="H36" s="81">
        <f>G36*18</f>
        <v>270</v>
      </c>
      <c r="L36" t="s">
        <v>169</v>
      </c>
      <c r="M36" s="81" t="s">
        <v>170</v>
      </c>
    </row>
    <row r="37" spans="4:13">
      <c r="D37" s="88"/>
      <c r="E37" s="66" t="s">
        <v>18</v>
      </c>
      <c r="F37" s="69" t="s">
        <v>24</v>
      </c>
      <c r="G37" s="67">
        <f>COUNTIF((B3:H16),"*ana*")</f>
        <v>12</v>
      </c>
      <c r="H37" s="81">
        <f>G37*18</f>
        <v>216</v>
      </c>
      <c r="L37" t="s">
        <v>171</v>
      </c>
      <c r="M37" s="81" t="s">
        <v>172</v>
      </c>
    </row>
    <row r="38" spans="4:13">
      <c r="D38" s="283" t="s">
        <v>83</v>
      </c>
      <c r="E38" s="282"/>
      <c r="F38" s="85" t="s">
        <v>36</v>
      </c>
      <c r="G38" s="67">
        <f>COUNTIF((B4:H17),"*raul*")</f>
        <v>7</v>
      </c>
      <c r="H38" s="81">
        <f>G38*15</f>
        <v>105</v>
      </c>
      <c r="M38" s="81"/>
    </row>
    <row r="39" spans="4:13">
      <c r="D39" s="283" t="s">
        <v>89</v>
      </c>
      <c r="E39" s="284"/>
      <c r="F39" s="112" t="s">
        <v>88</v>
      </c>
      <c r="G39" s="67">
        <f>COUNTIF((B7:H20),"*estel*")</f>
        <v>4</v>
      </c>
      <c r="H39" s="81">
        <v>460</v>
      </c>
    </row>
    <row r="40" spans="4:13">
      <c r="D40" s="283" t="s">
        <v>42</v>
      </c>
      <c r="E40" s="284"/>
      <c r="F40" s="121" t="s">
        <v>41</v>
      </c>
      <c r="G40" s="67">
        <f>COUNTIF((B3:H15),"*maria*")</f>
        <v>6</v>
      </c>
      <c r="H40" s="81">
        <f>8*18+75</f>
        <v>219</v>
      </c>
    </row>
    <row r="41" spans="4:13">
      <c r="D41" s="88"/>
      <c r="E41" s="77"/>
      <c r="F41" s="78" t="s">
        <v>28</v>
      </c>
      <c r="G41" s="77">
        <f>SUM(G26:G40)</f>
        <v>116</v>
      </c>
      <c r="H41" s="77">
        <f>SUM(H26:H40)</f>
        <v>2695</v>
      </c>
    </row>
  </sheetData>
  <mergeCells count="12">
    <mergeCell ref="E16:H17"/>
    <mergeCell ref="D26:E26"/>
    <mergeCell ref="D27:E27"/>
    <mergeCell ref="D28:E28"/>
    <mergeCell ref="D29:E29"/>
    <mergeCell ref="D39:E39"/>
    <mergeCell ref="D40:E40"/>
    <mergeCell ref="D30:E30"/>
    <mergeCell ref="D31:E31"/>
    <mergeCell ref="D34:E34"/>
    <mergeCell ref="D36:E36"/>
    <mergeCell ref="D38:E38"/>
  </mergeCells>
  <conditionalFormatting sqref="B16:D16">
    <cfRule type="expression" dxfId="11" priority="1">
      <formula>AND(DAY(B16)&gt;=1,DAY(B16)&lt;=15)</formula>
    </cfRule>
  </conditionalFormatting>
  <conditionalFormatting sqref="B3:G3">
    <cfRule type="expression" dxfId="10" priority="2">
      <formula>DAY(B3)&gt;8</formula>
    </cfRule>
  </conditionalFormatting>
  <conditionalFormatting sqref="B14:H14">
    <cfRule type="expression" dxfId="9" priority="3">
      <formula>AND(DAY(B14)&gt;=1,DAY(B14)&lt;=15)</formula>
    </cfRule>
  </conditionalFormatting>
  <dataValidations count="9">
    <dataValidation allowBlank="1" showInputMessage="1" showErrorMessage="1" prompt="Esta fila y las filas 5, 7, 9, 11 y 13 contienen días naturales de la semana. Si esta celda no contiene el número 1, se trata de un día del mes anterior. Escriba notas en la celda E13." sqref="B3" xr:uid="{29D0A641-FB94-4E54-91DD-F97AEF1BDEA1}"/>
    <dataValidation allowBlank="1" showInputMessage="1" showErrorMessage="1" prompt="El año en esta celda se actualiza automáticamente. Seleccione otro año en la celda K3 de la hoja de cálculo Enero para cambiar el año" sqref="C1" xr:uid="{D7BBF332-55F1-4481-B400-6BB90C2B761D}"/>
    <dataValidation allowBlank="1" showInputMessage="1" showErrorMessage="1" prompt="Las celdas de esta fila y las filas 6, 8, 10, 12 y 14 son para escribir notas diarias relacionadas con el día natural de la celda anterior." sqref="B4" xr:uid="{2B989501-2D67-4414-90F4-75469AA88B69}"/>
    <dataValidation allowBlank="1" showInputMessage="1" showErrorMessage="1" prompt="Escriba notas en esta celda." sqref="E16:H17" xr:uid="{0178D542-6212-47E0-9D6D-02EDE53DD900}"/>
    <dataValidation allowBlank="1" showInputMessage="1" showErrorMessage="1" prompt="Escriba notas en la celda a la derecha." sqref="D16:D17" xr:uid="{57DC2877-F28E-48C4-AFE0-EB352516E125}"/>
    <dataValidation allowBlank="1" showInputMessage="1" showErrorMessage="1" prompt="Calendario del mes de junio" sqref="A1" xr:uid="{6ACD830D-4A98-438E-BBCA-573CCD10AE4E}"/>
    <dataValidation allowBlank="1" showInputMessage="1" showErrorMessage="1" prompt="Esta fila contiene los nombres de los días laborables de este calendario. Esta celda contiene el día de inicio de la semana. Para cambiar el día de inicio, escriba un nuevo día laborable en la celda K4 de la hoja de cálculo Enero." sqref="B2" xr:uid="{97955318-4DEF-4270-B64B-FF30BB4DEBE5}"/>
    <dataValidation allowBlank="1" showErrorMessage="1" prompt="El año de esta celda se actualiza automáticamente según el año especificado en la hoja de cálculo de Enero. El calendario siguiente incluye fechas de los meses anterior y posterior con un sombreado de fuente más claro." sqref="B1" xr:uid="{AA56481B-E1A3-4BE7-BB6A-715A33327C22}"/>
    <dataValidation allowBlank="1" showInputMessage="1" showErrorMessage="1" prompt="El día de la semana se determinará automáticamente" sqref="C2:H2" xr:uid="{4F813D79-5CC0-4B99-B1F3-C79C53B47732}"/>
  </dataValidations>
  <hyperlinks>
    <hyperlink ref="D27" r:id="rId1" display="javascript:envioPeticionOpcion(1, 'ME','2mOPDtwhtSfaY48O3CG1JwAAAXXtvAnM2FkdViqMup8','N','*amp*FILTRO_TLA1=N*amp*FILTRO_TLA1_contracteCarrec=*amp*FILTRO_TLA1_referenciaUnica=*amp*FILTRO_TLA1_contracteAbon=*amp*FILTRO_TLA1_indContracteAbon=*amp*TIPUS_CONSULTA=*amp*FILTRO_TLA1_codiDivisa=*amp*FILTRO_TLA1_indicadorEfectiu=*amp*FILTRO_TLA1_oficina=*amp*FILTRO_TLA1_entitat=*amp*FILTRO_TLA1_codiEntitat=*amp*FILTRO_TLA1_importInicial=*amp*FILTRO_TLA1_importFinal=*amp*FILTRO_TLA1_dataInici=*amp*FILTRO_TLA1_dataFin=*amp*FILTRO_TLA1_estat=*amp*FILTRO_TLA1_canal=*amp*FLUJO=UNI,100,:UNI,0,:GFI,7,*amp*LISTA_CUENTAS_IS_INICIO=S*amp*REFVAL_SIMPLE_CLAVE_CONTINUACION_CUENTAS=2mOPDvGIP~jaY48O8Yg_6AAAAXXtvzKyDsc1K_SK_nk*amp*TIPO_LISTADO=T*amp*TIPUS_TRANSFERENCIA=ME*amp*IND_CONTINUACION=*amp*CLAU_CONTINUACION=*amp*PESTANA=TTU','bernat','2mOPDtw7B1vaY48O3DsHWwAAAXXtvAnL9Lwo0vxpEfI')" xr:uid="{9F4D92D1-6DEA-4EEB-8371-50579E6EAEFC}"/>
  </hyperlinks>
  <printOptions horizontalCentered="1" verticalCentered="1"/>
  <pageMargins left="0.7" right="0.7" top="0.75" bottom="0.75" header="0.3" footer="0.3"/>
  <pageSetup paperSize="9" scale="83" orientation="landscape" r:id="rId2"/>
  <headerFooter differentFirst="1">
    <oddFooter>Page &amp;P of &amp;N</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D5E3B-A8F0-46CB-9838-CEF1CC434AAC}">
  <sheetPr>
    <tabColor theme="8" tint="-0.249977111117893"/>
    <pageSetUpPr fitToPage="1"/>
  </sheetPr>
  <dimension ref="B1:H38"/>
  <sheetViews>
    <sheetView showGridLines="0" topLeftCell="A13" zoomScale="90" zoomScaleNormal="90" workbookViewId="0">
      <selection activeCell="G34" sqref="G34:G36"/>
    </sheetView>
  </sheetViews>
  <sheetFormatPr baseColWidth="10" defaultColWidth="8.88671875" defaultRowHeight="14.25"/>
  <cols>
    <col min="1" max="1" width="2.77734375" customWidth="1"/>
    <col min="2" max="2" width="18.44140625" customWidth="1"/>
    <col min="3" max="8" width="17.77734375" customWidth="1"/>
    <col min="9" max="9" width="2.77734375" customWidth="1"/>
    <col min="10" max="10" width="10.6640625" customWidth="1"/>
  </cols>
  <sheetData>
    <row r="1" spans="2:8" ht="59.25" customHeight="1">
      <c r="B1" s="43" t="str">
        <f>"Septiembre "&amp;Acalendario</f>
        <v>Septiembre 2024</v>
      </c>
      <c r="C1" s="44"/>
      <c r="D1" s="44"/>
      <c r="E1" s="45"/>
      <c r="F1" s="45"/>
      <c r="G1" s="45"/>
      <c r="H1" s="46"/>
    </row>
    <row r="2" spans="2:8" ht="21.75" customHeight="1">
      <c r="B2" s="5" t="str">
        <f>IF(InicioDeSemana="DOMINGO", "DOMINGO","LUNES")</f>
        <v>LUNES</v>
      </c>
      <c r="C2" s="5" t="str">
        <f t="shared" ref="C2:H2" si="0">UPPER(TEXT(C3,"dddd"))</f>
        <v>MARTES</v>
      </c>
      <c r="D2" s="5" t="str">
        <f t="shared" si="0"/>
        <v>MIÉRCOLES</v>
      </c>
      <c r="E2" s="5" t="str">
        <f t="shared" si="0"/>
        <v>JUEVES</v>
      </c>
      <c r="F2" s="5" t="str">
        <f t="shared" si="0"/>
        <v>VIERNES</v>
      </c>
      <c r="G2" s="5" t="str">
        <f t="shared" si="0"/>
        <v>SÁBADO</v>
      </c>
      <c r="H2" s="5" t="str">
        <f t="shared" si="0"/>
        <v>DOMINGO</v>
      </c>
    </row>
    <row r="3" spans="2:8" ht="19.5" customHeight="1">
      <c r="B3" s="59">
        <f t="array" ref="B3:H3">DaysAndWeeks+DATE(Acalendario,9,1)-WEEKDAY(DATE(Acalendario,9,1),(InicioDeSemana="LUNES")+1)+1</f>
        <v>45530</v>
      </c>
      <c r="C3" s="59">
        <v>45531</v>
      </c>
      <c r="D3" s="59">
        <v>45532</v>
      </c>
      <c r="E3" s="59">
        <v>45533</v>
      </c>
      <c r="F3" s="59">
        <v>45534</v>
      </c>
      <c r="G3" s="59">
        <v>45535</v>
      </c>
      <c r="H3" s="59">
        <v>45536</v>
      </c>
    </row>
    <row r="4" spans="2:8" ht="57.95" customHeight="1">
      <c r="B4" s="59"/>
      <c r="C4" s="59"/>
      <c r="D4" s="59"/>
      <c r="E4" s="59"/>
      <c r="F4" s="59"/>
      <c r="G4" s="59"/>
      <c r="H4" s="59"/>
    </row>
    <row r="5" spans="2:8" ht="19.5" customHeight="1">
      <c r="B5" s="60">
        <f t="array" ref="B5:H5">DaysAndWeeks+DATE(Acalendario,9,1)-WEEKDAY(DATE(Acalendario,9,1),(InicioDeSemana="LUNES")+1)+8</f>
        <v>45537</v>
      </c>
      <c r="C5" s="60">
        <v>45538</v>
      </c>
      <c r="D5" s="60">
        <v>45539</v>
      </c>
      <c r="E5" s="60">
        <v>45540</v>
      </c>
      <c r="F5" s="60">
        <v>45541</v>
      </c>
      <c r="G5" s="60">
        <v>45542</v>
      </c>
      <c r="H5" s="60">
        <v>45543</v>
      </c>
    </row>
    <row r="6" spans="2:8" ht="57.95" customHeight="1">
      <c r="B6" s="60"/>
      <c r="C6" s="60"/>
      <c r="D6" s="60"/>
      <c r="E6" s="60"/>
      <c r="F6" s="60"/>
      <c r="G6" s="60"/>
      <c r="H6" s="60"/>
    </row>
    <row r="7" spans="2:8" ht="19.5" customHeight="1">
      <c r="B7" s="59">
        <f t="array" ref="B7:H7">DaysAndWeeks+DATE(Acalendario,9,1)-WEEKDAY(DATE(Acalendario,9,1),(InicioDeSemana="LUNES")+1)+15</f>
        <v>45544</v>
      </c>
      <c r="C7" s="59">
        <v>45545</v>
      </c>
      <c r="D7" s="59">
        <v>45546</v>
      </c>
      <c r="E7" s="59">
        <v>45547</v>
      </c>
      <c r="F7" s="59">
        <v>45548</v>
      </c>
      <c r="G7" s="59">
        <v>45549</v>
      </c>
      <c r="H7" s="59">
        <v>45550</v>
      </c>
    </row>
    <row r="8" spans="2:8" ht="57.95" customHeight="1">
      <c r="B8" s="59"/>
      <c r="C8" s="59"/>
      <c r="D8" s="59"/>
      <c r="E8" s="59"/>
      <c r="F8" s="59"/>
      <c r="G8" s="59" t="s">
        <v>179</v>
      </c>
      <c r="H8" s="59"/>
    </row>
    <row r="9" spans="2:8" ht="19.5" customHeight="1">
      <c r="B9" s="60">
        <f t="array" ref="B9:H9">DaysAndWeeks+DATE(Acalendario,9,1)-WEEKDAY(DATE(Acalendario,9,1),(InicioDeSemana="LUNES")+1)+22</f>
        <v>45551</v>
      </c>
      <c r="C9" s="60">
        <v>45552</v>
      </c>
      <c r="D9" s="60">
        <v>45553</v>
      </c>
      <c r="E9" s="60">
        <v>45554</v>
      </c>
      <c r="F9" s="60">
        <v>45555</v>
      </c>
      <c r="G9" s="60">
        <v>45556</v>
      </c>
      <c r="H9" s="60">
        <v>45557</v>
      </c>
    </row>
    <row r="10" spans="2:8" ht="57.95" customHeight="1">
      <c r="B10" s="80" t="s">
        <v>175</v>
      </c>
      <c r="C10" s="80"/>
      <c r="D10" s="80" t="s">
        <v>5</v>
      </c>
      <c r="E10" s="80" t="s">
        <v>182</v>
      </c>
      <c r="F10" s="80" t="s">
        <v>183</v>
      </c>
      <c r="G10" s="80" t="s">
        <v>179</v>
      </c>
      <c r="H10" s="80"/>
    </row>
    <row r="11" spans="2:8" ht="57.95" customHeight="1">
      <c r="B11" s="130"/>
      <c r="C11" s="130" t="s">
        <v>178</v>
      </c>
      <c r="D11" s="130"/>
      <c r="E11" s="130"/>
      <c r="F11" s="130"/>
      <c r="G11" s="130"/>
      <c r="H11" s="130"/>
    </row>
    <row r="12" spans="2:8" ht="19.5" customHeight="1">
      <c r="B12" s="59">
        <f t="array" ref="B12:H12">DaysAndWeeks+DATE(Acalendario,9,1)-WEEKDAY(DATE(Acalendario,9,1),(InicioDeSemana="LUNES")+1)+29</f>
        <v>45558</v>
      </c>
      <c r="C12" s="59">
        <v>45559</v>
      </c>
      <c r="D12" s="59">
        <v>45560</v>
      </c>
      <c r="E12" s="59">
        <v>45561</v>
      </c>
      <c r="F12" s="59">
        <v>45562</v>
      </c>
      <c r="G12" s="59">
        <v>45563</v>
      </c>
      <c r="H12" s="59">
        <v>45564</v>
      </c>
    </row>
    <row r="13" spans="2:8" ht="57.95" customHeight="1">
      <c r="B13" s="80" t="s">
        <v>175</v>
      </c>
      <c r="C13" s="80"/>
      <c r="D13" s="80" t="s">
        <v>5</v>
      </c>
      <c r="E13" s="80" t="s">
        <v>182</v>
      </c>
      <c r="F13" s="80" t="s">
        <v>183</v>
      </c>
      <c r="G13" s="124" t="s">
        <v>179</v>
      </c>
      <c r="H13" s="124"/>
    </row>
    <row r="14" spans="2:8" ht="57.95" customHeight="1">
      <c r="B14" s="131" t="s">
        <v>17</v>
      </c>
      <c r="C14" s="131" t="s">
        <v>178</v>
      </c>
      <c r="D14" s="131" t="s">
        <v>176</v>
      </c>
      <c r="E14" s="131" t="s">
        <v>177</v>
      </c>
      <c r="F14" s="131" t="s">
        <v>176</v>
      </c>
      <c r="G14" s="131"/>
      <c r="H14" s="131"/>
    </row>
    <row r="15" spans="2:8" ht="19.5" customHeight="1">
      <c r="B15" s="60">
        <f t="array" ref="B15:C15">DaysAndWeeks+DATE(Acalendario,9,1)-WEEKDAY(DATE(Acalendario,9,1),(InicioDeSemana="LUNES")+1)+36</f>
        <v>45565</v>
      </c>
      <c r="C15" s="60">
        <v>45566</v>
      </c>
      <c r="D15" s="63" t="s">
        <v>0</v>
      </c>
      <c r="E15" s="251"/>
      <c r="F15" s="251"/>
      <c r="G15" s="251"/>
      <c r="H15" s="252"/>
    </row>
    <row r="16" spans="2:8" ht="57.95" customHeight="1">
      <c r="B16" s="60" t="s">
        <v>180</v>
      </c>
      <c r="C16" s="60"/>
      <c r="D16" s="7"/>
      <c r="E16" s="253"/>
      <c r="F16" s="253"/>
      <c r="G16" s="253"/>
      <c r="H16" s="254"/>
    </row>
    <row r="17" spans="2:7" ht="65.25" customHeight="1">
      <c r="B17" s="132" t="s">
        <v>181</v>
      </c>
      <c r="C17" s="132"/>
    </row>
    <row r="23" spans="2:7">
      <c r="D23" s="107"/>
      <c r="E23" s="67" t="s">
        <v>6</v>
      </c>
      <c r="F23" s="136" t="s">
        <v>174</v>
      </c>
    </row>
    <row r="24" spans="2:7">
      <c r="C24" s="282" t="s">
        <v>8</v>
      </c>
      <c r="D24" s="282"/>
      <c r="E24" s="67" t="s">
        <v>9</v>
      </c>
      <c r="F24" s="67">
        <f>COUNTIF((A1:G13),"*estel*")</f>
        <v>0</v>
      </c>
      <c r="G24">
        <f>F24*18</f>
        <v>0</v>
      </c>
    </row>
    <row r="25" spans="2:7">
      <c r="C25" s="282" t="s">
        <v>12</v>
      </c>
      <c r="D25" s="282"/>
      <c r="E25" s="67" t="s">
        <v>13</v>
      </c>
      <c r="F25" s="67">
        <f>COUNTIF((A2:H17),"*bernat*")</f>
        <v>1</v>
      </c>
      <c r="G25">
        <f>F25*20</f>
        <v>20</v>
      </c>
    </row>
    <row r="26" spans="2:7">
      <c r="C26" s="282" t="s">
        <v>14</v>
      </c>
      <c r="D26" s="282"/>
      <c r="E26" s="67" t="s">
        <v>15</v>
      </c>
      <c r="F26" s="67">
        <f>COUNTIF((A1:H17),"*pati*")</f>
        <v>2</v>
      </c>
      <c r="G26" s="81">
        <f>F26*18</f>
        <v>36</v>
      </c>
    </row>
    <row r="27" spans="2:7">
      <c r="C27" s="282" t="s">
        <v>16</v>
      </c>
      <c r="D27" s="282"/>
      <c r="E27" s="128" t="s">
        <v>17</v>
      </c>
      <c r="F27" s="67">
        <f>COUNTIF((A1:H17),"*mario*")</f>
        <v>9</v>
      </c>
      <c r="G27" s="81">
        <f>F27*20</f>
        <v>180</v>
      </c>
    </row>
    <row r="28" spans="2:7">
      <c r="C28" s="283" t="s">
        <v>95</v>
      </c>
      <c r="D28" s="284"/>
      <c r="E28" s="113" t="s">
        <v>90</v>
      </c>
      <c r="F28" s="67">
        <f>COUNTIF((A1:H17),"*nuria*")</f>
        <v>3</v>
      </c>
      <c r="G28" s="81">
        <v>111</v>
      </c>
    </row>
    <row r="29" spans="2:7">
      <c r="C29" s="88"/>
      <c r="D29" s="107" t="s">
        <v>18</v>
      </c>
      <c r="E29" s="67" t="s">
        <v>20</v>
      </c>
      <c r="F29" s="67">
        <f>COUNTIF((A2:H17),"*zaro*")</f>
        <v>9</v>
      </c>
      <c r="G29" s="81">
        <f>F29*18</f>
        <v>162</v>
      </c>
    </row>
    <row r="30" spans="2:7">
      <c r="C30" s="283" t="s">
        <v>59</v>
      </c>
      <c r="D30" s="284"/>
      <c r="E30" s="136" t="s">
        <v>21</v>
      </c>
      <c r="F30" s="67">
        <f>COUNTIF((B1:H17),"*nico*")</f>
        <v>5</v>
      </c>
      <c r="G30" s="81">
        <f>F30*18</f>
        <v>90</v>
      </c>
    </row>
    <row r="31" spans="2:7">
      <c r="C31" s="88"/>
      <c r="D31" s="107" t="s">
        <v>18</v>
      </c>
      <c r="E31" s="67" t="s">
        <v>26</v>
      </c>
      <c r="F31" s="67">
        <f>COUNTIF((A1:H17),"*carla*")</f>
        <v>0</v>
      </c>
      <c r="G31">
        <f>F31*10</f>
        <v>0</v>
      </c>
    </row>
    <row r="32" spans="2:7">
      <c r="C32" s="287" t="s">
        <v>33</v>
      </c>
      <c r="D32" s="287"/>
      <c r="E32" s="73" t="s">
        <v>23</v>
      </c>
      <c r="F32" s="67">
        <f>COUNTIF((A2:H18),"*candela*")</f>
        <v>0</v>
      </c>
      <c r="G32">
        <f>F32*18</f>
        <v>0</v>
      </c>
    </row>
    <row r="33" spans="3:7">
      <c r="C33" s="88"/>
      <c r="D33" s="66" t="s">
        <v>18</v>
      </c>
      <c r="E33" s="135" t="s">
        <v>173</v>
      </c>
      <c r="F33" s="67">
        <f>COUNTIF((A1:H17),"*aina*")</f>
        <v>6</v>
      </c>
      <c r="G33">
        <f>F33*18</f>
        <v>108</v>
      </c>
    </row>
    <row r="34" spans="3:7">
      <c r="C34" s="283" t="s">
        <v>83</v>
      </c>
      <c r="D34" s="282"/>
      <c r="E34" s="85" t="s">
        <v>36</v>
      </c>
      <c r="F34" s="67">
        <f>COUNTIF((A2:G15),"*raul*")</f>
        <v>6</v>
      </c>
      <c r="G34" s="81">
        <f>F34*18</f>
        <v>108</v>
      </c>
    </row>
    <row r="35" spans="3:7">
      <c r="C35" s="283" t="s">
        <v>42</v>
      </c>
      <c r="D35" s="284"/>
      <c r="E35" s="121" t="s">
        <v>41</v>
      </c>
      <c r="F35" s="67">
        <f>COUNTIF((A1:I17),"*maria*")</f>
        <v>5</v>
      </c>
      <c r="G35" s="81">
        <v>111</v>
      </c>
    </row>
    <row r="36" spans="3:7">
      <c r="C36" s="283" t="s">
        <v>184</v>
      </c>
      <c r="D36" s="284"/>
      <c r="E36" s="135" t="s">
        <v>185</v>
      </c>
      <c r="F36" s="67">
        <v>2</v>
      </c>
      <c r="G36" s="81">
        <v>36</v>
      </c>
    </row>
    <row r="37" spans="3:7">
      <c r="C37" t="s">
        <v>168</v>
      </c>
      <c r="D37" s="106"/>
      <c r="E37" t="s">
        <v>167</v>
      </c>
      <c r="F37" s="67"/>
      <c r="G37">
        <v>0</v>
      </c>
    </row>
    <row r="38" spans="3:7">
      <c r="C38" s="88"/>
      <c r="D38" s="77"/>
      <c r="E38" s="78" t="s">
        <v>28</v>
      </c>
      <c r="F38" s="77">
        <f>SUM(F24:F35)</f>
        <v>46</v>
      </c>
      <c r="G38" s="77">
        <f>SUM(G24:G35)</f>
        <v>926</v>
      </c>
    </row>
  </sheetData>
  <mergeCells count="11">
    <mergeCell ref="C35:D35"/>
    <mergeCell ref="C36:D36"/>
    <mergeCell ref="C28:D28"/>
    <mergeCell ref="C30:D30"/>
    <mergeCell ref="C32:D32"/>
    <mergeCell ref="C34:D34"/>
    <mergeCell ref="E15:H16"/>
    <mergeCell ref="C24:D24"/>
    <mergeCell ref="C25:D25"/>
    <mergeCell ref="C26:D26"/>
    <mergeCell ref="C27:D27"/>
  </mergeCells>
  <phoneticPr fontId="78" type="noConversion"/>
  <conditionalFormatting sqref="B15:D15">
    <cfRule type="expression" dxfId="8" priority="1">
      <formula>AND(DAY(B15)&gt;=1,DAY(B15)&lt;=15)</formula>
    </cfRule>
  </conditionalFormatting>
  <conditionalFormatting sqref="B3:G3">
    <cfRule type="expression" dxfId="7" priority="2">
      <formula>DAY(B3)&gt;8</formula>
    </cfRule>
  </conditionalFormatting>
  <conditionalFormatting sqref="B12:H12">
    <cfRule type="expression" dxfId="6" priority="3">
      <formula>AND(DAY(B12)&gt;=1,DAY(B12)&lt;=15)</formula>
    </cfRule>
  </conditionalFormatting>
  <dataValidations count="9">
    <dataValidation allowBlank="1" showInputMessage="1" showErrorMessage="1" prompt="Esta fila y las filas 5, 7, 9, 11 y 13 contienen días naturales de la semana. Si esta celda no contiene el número 1, se trata de un día del mes anterior. Escriba notas en la celda E13." sqref="B3" xr:uid="{0C1470B7-9957-40D1-A7B6-218E45BB21CA}"/>
    <dataValidation allowBlank="1" showInputMessage="1" showErrorMessage="1" prompt="El año en esta celda se actualiza automáticamente. Seleccione otro año en la celda K3 de la hoja de cálculo Enero para cambiar el año" sqref="C1" xr:uid="{31975849-DD0E-44FA-BE86-51968D9CCD66}"/>
    <dataValidation allowBlank="1" showInputMessage="1" showErrorMessage="1" prompt="Las celdas de esta fila y las filas 6, 8, 10, 12 y 14 son para escribir notas diarias relacionadas con el día natural de la celda anterior." sqref="B4" xr:uid="{A78C1373-B784-4BFF-9E6F-C83B74F7FB6C}"/>
    <dataValidation allowBlank="1" showInputMessage="1" showErrorMessage="1" prompt="Escriba notas en esta celda." sqref="E15:H16" xr:uid="{94F9D0F0-27C4-4F60-A613-C7EEDCF4EA47}"/>
    <dataValidation allowBlank="1" showInputMessage="1" showErrorMessage="1" prompt="Escriba notas en la celda a la derecha." sqref="D15:D16" xr:uid="{BFD3F3D4-DA2A-4B25-8511-87B1E350D911}"/>
    <dataValidation allowBlank="1" showInputMessage="1" showErrorMessage="1" prompt="Calendario del mes de septiembre" sqref="A1" xr:uid="{BACFD247-465E-443C-B472-A0F4298F1A41}"/>
    <dataValidation allowBlank="1" showInputMessage="1" showErrorMessage="1" prompt="Esta fila contiene los nombres de los días laborables de este calendario. Esta celda contiene el día de inicio de la semana. Para cambiar el día de inicio, escriba un nuevo día laborable en la celda K4 de la hoja de cálculo Enero." sqref="B2" xr:uid="{7E285114-F9EE-48AD-A774-348B40DE766C}"/>
    <dataValidation allowBlank="1" showErrorMessage="1" prompt="El año de esta celda se actualiza automáticamente según el año especificado en la hoja de cálculo de Enero. El calendario siguiente incluye fechas de los meses anterior y posterior con un sombreado de fuente más claro." sqref="B1" xr:uid="{5A17E89E-A4BC-457B-8B74-7158362A739E}"/>
    <dataValidation allowBlank="1" showInputMessage="1" showErrorMessage="1" prompt="El día de la semana se determinará automáticamente" sqref="C2:H2" xr:uid="{C0CF13DA-66A5-47B1-AE01-D763F3312076}"/>
  </dataValidations>
  <hyperlinks>
    <hyperlink ref="C25" r:id="rId1" display="javascript:envioPeticionOpcion(1, 'ME','2mOPDtwhtSfaY48O3CG1JwAAAXXtvAnM2FkdViqMup8','N','*amp*FILTRO_TLA1=N*amp*FILTRO_TLA1_contracteCarrec=*amp*FILTRO_TLA1_referenciaUnica=*amp*FILTRO_TLA1_contracteAbon=*amp*FILTRO_TLA1_indContracteAbon=*amp*TIPUS_CONSULTA=*amp*FILTRO_TLA1_codiDivisa=*amp*FILTRO_TLA1_indicadorEfectiu=*amp*FILTRO_TLA1_oficina=*amp*FILTRO_TLA1_entitat=*amp*FILTRO_TLA1_codiEntitat=*amp*FILTRO_TLA1_importInicial=*amp*FILTRO_TLA1_importFinal=*amp*FILTRO_TLA1_dataInici=*amp*FILTRO_TLA1_dataFin=*amp*FILTRO_TLA1_estat=*amp*FILTRO_TLA1_canal=*amp*FLUJO=UNI,100,:UNI,0,:GFI,7,*amp*LISTA_CUENTAS_IS_INICIO=S*amp*REFVAL_SIMPLE_CLAVE_CONTINUACION_CUENTAS=2mOPDvGIP~jaY48O8Yg_6AAAAXXtvzKyDsc1K_SK_nk*amp*TIPO_LISTADO=T*amp*TIPUS_TRANSFERENCIA=ME*amp*IND_CONTINUACION=*amp*CLAU_CONTINUACION=*amp*PESTANA=TTU','bernat','2mOPDtw7B1vaY48O3DsHWwAAAXXtvAnL9Lwo0vxpEfI')" xr:uid="{4F7FDF5F-17EA-49CE-BBBF-3DB3BBD329BE}"/>
  </hyperlinks>
  <printOptions horizontalCentered="1" verticalCentered="1"/>
  <pageMargins left="0.7" right="0.7" top="0.75" bottom="0.75" header="0.3" footer="0.3"/>
  <pageSetup paperSize="9" scale="83" orientation="landscape" r:id="rId2"/>
  <headerFooter differentFirst="1">
    <oddFooter>Page &amp;P of &amp;N</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26E55-4378-40F1-BE04-CE62917FD3D3}">
  <sheetPr>
    <tabColor theme="9" tint="-0.249977111117893"/>
    <pageSetUpPr fitToPage="1"/>
  </sheetPr>
  <dimension ref="B1:H47"/>
  <sheetViews>
    <sheetView showGridLines="0" topLeftCell="A14" zoomScale="90" zoomScaleNormal="90" workbookViewId="0">
      <selection activeCell="G35" sqref="G35"/>
    </sheetView>
  </sheetViews>
  <sheetFormatPr baseColWidth="10" defaultColWidth="8.88671875" defaultRowHeight="14.25"/>
  <cols>
    <col min="1" max="1" width="2.77734375" customWidth="1"/>
    <col min="2" max="2" width="18.44140625" customWidth="1"/>
    <col min="3" max="3" width="32.21875" customWidth="1"/>
    <col min="4" max="8" width="17.77734375" customWidth="1"/>
    <col min="9" max="9" width="2.77734375" customWidth="1"/>
  </cols>
  <sheetData>
    <row r="1" spans="2:8" ht="59.25" customHeight="1">
      <c r="B1" s="58" t="str">
        <f>"Octubre "&amp;Acalendario</f>
        <v>Octubre 2024</v>
      </c>
      <c r="C1" s="50"/>
      <c r="D1" s="50"/>
      <c r="E1" s="51"/>
      <c r="F1" s="51"/>
      <c r="G1" s="51"/>
      <c r="H1" s="52"/>
    </row>
    <row r="2" spans="2:8" ht="21.75" customHeight="1">
      <c r="B2" s="5" t="str">
        <f>IF(InicioDeSemana="DOMINGO", "DOMINGO","LUNES")</f>
        <v>LUNES</v>
      </c>
      <c r="C2" s="5" t="str">
        <f t="shared" ref="C2:H2" si="0">UPPER(TEXT(C3,"dddd"))</f>
        <v>MARTES</v>
      </c>
      <c r="D2" s="5" t="str">
        <f t="shared" si="0"/>
        <v>MIÉRCOLES</v>
      </c>
      <c r="E2" s="5" t="str">
        <f t="shared" si="0"/>
        <v>JUEVES</v>
      </c>
      <c r="F2" s="5" t="str">
        <f t="shared" si="0"/>
        <v>VIERNES</v>
      </c>
      <c r="G2" s="5" t="str">
        <f t="shared" si="0"/>
        <v>SÁBADO</v>
      </c>
      <c r="H2" s="5" t="str">
        <f t="shared" si="0"/>
        <v>DOMINGO</v>
      </c>
    </row>
    <row r="3" spans="2:8" ht="19.5" customHeight="1">
      <c r="B3" s="59">
        <f t="array" ref="B3:H3">DaysAndWeeks+DATE(Acalendario,10,1)-WEEKDAY(DATE(Acalendario,10,1),(InicioDeSemana="LUNES")+1)+1</f>
        <v>45565</v>
      </c>
      <c r="C3" s="59">
        <v>45566</v>
      </c>
      <c r="D3" s="59">
        <v>45567</v>
      </c>
      <c r="E3" s="59">
        <v>45568</v>
      </c>
      <c r="F3" s="59">
        <v>45569</v>
      </c>
      <c r="G3" s="59">
        <v>45570</v>
      </c>
      <c r="H3" s="59">
        <v>45571</v>
      </c>
    </row>
    <row r="4" spans="2:8" ht="57.95" customHeight="1">
      <c r="B4" s="59"/>
      <c r="C4" s="83" t="s">
        <v>208</v>
      </c>
      <c r="D4" s="60" t="s">
        <v>188</v>
      </c>
      <c r="E4" s="90" t="s">
        <v>189</v>
      </c>
      <c r="F4" s="90" t="s">
        <v>191</v>
      </c>
      <c r="G4" s="90" t="s">
        <v>200</v>
      </c>
      <c r="H4" s="90"/>
    </row>
    <row r="5" spans="2:8" ht="57.95" customHeight="1">
      <c r="B5" s="59"/>
      <c r="C5" s="137" t="s">
        <v>203</v>
      </c>
      <c r="D5" s="137" t="s">
        <v>27</v>
      </c>
      <c r="E5" s="137" t="s">
        <v>201</v>
      </c>
      <c r="F5" s="137" t="s">
        <v>27</v>
      </c>
      <c r="G5" s="137"/>
      <c r="H5" s="137"/>
    </row>
    <row r="6" spans="2:8" ht="19.5" customHeight="1">
      <c r="B6" s="60">
        <f t="array" ref="B6:H6">DaysAndWeeks+DATE(Acalendario,10,1)-WEEKDAY(DATE(Acalendario,10,1),(InicioDeSemana="LUNES")+1)+8</f>
        <v>45572</v>
      </c>
      <c r="C6" s="60">
        <v>45573</v>
      </c>
      <c r="D6" s="60">
        <v>45574</v>
      </c>
      <c r="E6" s="60">
        <v>45575</v>
      </c>
      <c r="F6" s="60">
        <v>45576</v>
      </c>
      <c r="G6" s="60">
        <v>45577</v>
      </c>
      <c r="H6" s="60">
        <v>45578</v>
      </c>
    </row>
    <row r="7" spans="2:8" ht="57.95" customHeight="1">
      <c r="B7" s="60" t="s">
        <v>194</v>
      </c>
      <c r="C7" s="83" t="s">
        <v>186</v>
      </c>
      <c r="D7" s="60" t="s">
        <v>187</v>
      </c>
      <c r="E7" s="90" t="s">
        <v>193</v>
      </c>
      <c r="F7" s="90" t="s">
        <v>191</v>
      </c>
      <c r="G7" s="60" t="s">
        <v>199</v>
      </c>
      <c r="H7" s="60"/>
    </row>
    <row r="8" spans="2:8" ht="57.95" customHeight="1">
      <c r="B8" s="133" t="s">
        <v>181</v>
      </c>
      <c r="C8" s="133" t="s">
        <v>203</v>
      </c>
      <c r="D8" s="133" t="s">
        <v>27</v>
      </c>
      <c r="E8" s="133" t="s">
        <v>201</v>
      </c>
      <c r="F8" s="133" t="s">
        <v>27</v>
      </c>
      <c r="G8" s="133"/>
      <c r="H8" s="133"/>
    </row>
    <row r="9" spans="2:8" ht="19.5" customHeight="1">
      <c r="B9" s="59">
        <f t="array" ref="B9:H9">DaysAndWeeks+DATE(Acalendario,10,1)-WEEKDAY(DATE(Acalendario,10,1),(InicioDeSemana="LUNES")+1)+15</f>
        <v>45579</v>
      </c>
      <c r="C9" s="59">
        <v>45580</v>
      </c>
      <c r="D9" s="59">
        <v>45581</v>
      </c>
      <c r="E9" s="59">
        <v>45582</v>
      </c>
      <c r="F9" s="59">
        <v>45583</v>
      </c>
      <c r="G9" s="59">
        <v>45584</v>
      </c>
      <c r="H9" s="59">
        <v>45585</v>
      </c>
    </row>
    <row r="10" spans="2:8" ht="57.95" customHeight="1">
      <c r="B10" s="60" t="s">
        <v>209</v>
      </c>
      <c r="C10" s="83" t="s">
        <v>208</v>
      </c>
      <c r="D10" s="60" t="s">
        <v>187</v>
      </c>
      <c r="E10" s="90" t="s">
        <v>193</v>
      </c>
      <c r="F10" s="90" t="s">
        <v>192</v>
      </c>
      <c r="G10" s="59" t="s">
        <v>202</v>
      </c>
      <c r="H10" s="59"/>
    </row>
    <row r="11" spans="2:8" ht="57.95" customHeight="1">
      <c r="B11" s="134" t="s">
        <v>195</v>
      </c>
      <c r="C11" s="134" t="s">
        <v>203</v>
      </c>
      <c r="D11" s="134" t="s">
        <v>198</v>
      </c>
      <c r="E11" s="134" t="s">
        <v>190</v>
      </c>
      <c r="F11" s="134" t="s">
        <v>27</v>
      </c>
      <c r="G11" s="134"/>
      <c r="H11" s="134"/>
    </row>
    <row r="12" spans="2:8" ht="19.5" customHeight="1">
      <c r="B12" s="60">
        <f t="array" ref="B12:H12">DaysAndWeeks+DATE(Acalendario,10,1)-WEEKDAY(DATE(Acalendario,10,1),(InicioDeSemana="LUNES")+1)+22</f>
        <v>45586</v>
      </c>
      <c r="C12" s="60">
        <v>45587</v>
      </c>
      <c r="D12" s="60">
        <v>45588</v>
      </c>
      <c r="E12" s="60">
        <v>45589</v>
      </c>
      <c r="F12" s="60">
        <v>45590</v>
      </c>
      <c r="G12" s="60">
        <v>45591</v>
      </c>
      <c r="H12" s="60">
        <v>45592</v>
      </c>
    </row>
    <row r="13" spans="2:8" ht="57.95" customHeight="1">
      <c r="B13" s="60" t="s">
        <v>212</v>
      </c>
      <c r="C13" s="83" t="s">
        <v>210</v>
      </c>
      <c r="D13" s="60" t="s">
        <v>196</v>
      </c>
      <c r="E13" s="90" t="s">
        <v>197</v>
      </c>
      <c r="F13" s="90" t="s">
        <v>192</v>
      </c>
      <c r="G13" s="60" t="s">
        <v>202</v>
      </c>
      <c r="H13" s="60"/>
    </row>
    <row r="14" spans="2:8" ht="57.95" customHeight="1">
      <c r="B14" s="134" t="s">
        <v>195</v>
      </c>
      <c r="C14" s="134" t="s">
        <v>203</v>
      </c>
      <c r="D14" s="134" t="s">
        <v>198</v>
      </c>
      <c r="E14" s="134" t="s">
        <v>190</v>
      </c>
      <c r="F14" s="134" t="s">
        <v>27</v>
      </c>
      <c r="G14" s="133"/>
      <c r="H14" s="133"/>
    </row>
    <row r="15" spans="2:8" ht="19.5" customHeight="1">
      <c r="B15" s="59">
        <f t="array" ref="B15:H15">DaysAndWeeks+DATE(Acalendario,10,1)-WEEKDAY(DATE(Acalendario,10,1),(InicioDeSemana="LUNES")+1)+29</f>
        <v>45593</v>
      </c>
      <c r="C15" s="59">
        <v>45594</v>
      </c>
      <c r="D15" s="59">
        <v>45595</v>
      </c>
      <c r="E15" s="59">
        <v>45596</v>
      </c>
      <c r="F15" s="59">
        <v>45597</v>
      </c>
      <c r="G15" s="59">
        <v>45598</v>
      </c>
      <c r="H15" s="59">
        <v>45599</v>
      </c>
    </row>
    <row r="16" spans="2:8" ht="57.95" customHeight="1">
      <c r="B16" s="60" t="s">
        <v>217</v>
      </c>
      <c r="C16" s="83" t="s">
        <v>218</v>
      </c>
      <c r="D16" s="60" t="s">
        <v>196</v>
      </c>
      <c r="E16" s="90" t="s">
        <v>211</v>
      </c>
      <c r="F16" s="59"/>
      <c r="G16" s="59"/>
      <c r="H16" s="59"/>
    </row>
    <row r="17" spans="2:8" ht="57.95" customHeight="1">
      <c r="B17" s="134" t="s">
        <v>195</v>
      </c>
      <c r="C17" s="134" t="s">
        <v>203</v>
      </c>
      <c r="D17" s="134" t="s">
        <v>198</v>
      </c>
      <c r="E17" s="134" t="s">
        <v>190</v>
      </c>
      <c r="F17" s="59"/>
      <c r="G17" s="59"/>
      <c r="H17" s="59"/>
    </row>
    <row r="18" spans="2:8" ht="19.5" customHeight="1">
      <c r="B18" s="60">
        <f t="array" ref="B18:C18">DaysAndWeeks+DATE(Acalendario,10,1)-WEEKDAY(DATE(Acalendario,10,1),(InicioDeSemana="LUNES")+1)+36</f>
        <v>45600</v>
      </c>
      <c r="C18" s="60">
        <v>45601</v>
      </c>
      <c r="D18" s="63" t="s">
        <v>0</v>
      </c>
      <c r="E18" s="251"/>
      <c r="F18" s="251"/>
      <c r="G18" s="251"/>
      <c r="H18" s="252"/>
    </row>
    <row r="19" spans="2:8" ht="57.95" customHeight="1">
      <c r="B19" s="60"/>
      <c r="C19" s="60"/>
      <c r="D19" s="7"/>
      <c r="E19" s="253"/>
      <c r="F19" s="253"/>
      <c r="G19" s="253"/>
      <c r="H19" s="254"/>
    </row>
    <row r="27" spans="2:8">
      <c r="D27" s="107"/>
      <c r="E27" s="67" t="s">
        <v>6</v>
      </c>
      <c r="F27" s="136" t="s">
        <v>174</v>
      </c>
    </row>
    <row r="28" spans="2:8">
      <c r="C28" s="282" t="s">
        <v>8</v>
      </c>
      <c r="D28" s="282"/>
      <c r="E28" s="67" t="s">
        <v>9</v>
      </c>
      <c r="F28" s="67">
        <f>COUNTIF((A5:G17),"*estel*")</f>
        <v>0</v>
      </c>
      <c r="G28">
        <f>F28*18</f>
        <v>0</v>
      </c>
    </row>
    <row r="29" spans="2:8">
      <c r="C29" s="282" t="s">
        <v>12</v>
      </c>
      <c r="D29" s="282"/>
      <c r="E29" s="67" t="s">
        <v>13</v>
      </c>
      <c r="F29" s="67">
        <f>COUNTIF((A3:H17),"*bernat*")</f>
        <v>13</v>
      </c>
      <c r="G29" s="81">
        <f>F29*20</f>
        <v>260</v>
      </c>
    </row>
    <row r="30" spans="2:8">
      <c r="C30" s="282" t="s">
        <v>14</v>
      </c>
      <c r="D30" s="282"/>
      <c r="E30" s="67" t="s">
        <v>15</v>
      </c>
      <c r="F30" s="67">
        <f>COUNTIF((A1:H18),"*pati*")</f>
        <v>4</v>
      </c>
      <c r="G30" s="81">
        <f>F30*18</f>
        <v>72</v>
      </c>
    </row>
    <row r="31" spans="2:8">
      <c r="C31" s="282" t="s">
        <v>16</v>
      </c>
      <c r="D31" s="282"/>
      <c r="E31" s="128" t="s">
        <v>17</v>
      </c>
      <c r="F31" s="67">
        <f>COUNTIF((A1:H18),"*mario*")</f>
        <v>41</v>
      </c>
      <c r="G31" s="81">
        <v>650</v>
      </c>
    </row>
    <row r="32" spans="2:8">
      <c r="C32" s="283" t="s">
        <v>95</v>
      </c>
      <c r="D32" s="284"/>
      <c r="E32" s="113" t="s">
        <v>90</v>
      </c>
      <c r="F32" s="67">
        <f>COUNTIF((A1:H18),"*nuria*")</f>
        <v>5</v>
      </c>
      <c r="G32" s="81">
        <v>111</v>
      </c>
    </row>
    <row r="33" spans="3:8">
      <c r="C33" s="88"/>
      <c r="D33" s="107" t="s">
        <v>18</v>
      </c>
      <c r="E33" s="136" t="s">
        <v>20</v>
      </c>
      <c r="F33" s="67">
        <f>COUNTIF((A1:H18),"*zaro*")</f>
        <v>23</v>
      </c>
      <c r="G33" s="81">
        <f t="shared" ref="G33:G44" si="1">F33*18</f>
        <v>414</v>
      </c>
      <c r="H33" t="s">
        <v>219</v>
      </c>
    </row>
    <row r="34" spans="3:8">
      <c r="C34" s="283" t="s">
        <v>59</v>
      </c>
      <c r="D34" s="284"/>
      <c r="E34" s="67" t="s">
        <v>21</v>
      </c>
      <c r="F34" s="67">
        <f>COUNTIF((A1:H18),"*nico*")</f>
        <v>12</v>
      </c>
      <c r="G34" s="81">
        <f t="shared" si="1"/>
        <v>216</v>
      </c>
    </row>
    <row r="35" spans="3:8">
      <c r="C35" s="88"/>
      <c r="D35" s="107" t="s">
        <v>18</v>
      </c>
      <c r="E35" s="67" t="s">
        <v>26</v>
      </c>
      <c r="F35" s="67">
        <f>COUNTIF((A1:H18),"*lolo*")</f>
        <v>9</v>
      </c>
      <c r="G35" s="81">
        <f t="shared" si="1"/>
        <v>162</v>
      </c>
    </row>
    <row r="36" spans="3:8">
      <c r="C36" s="287" t="s">
        <v>33</v>
      </c>
      <c r="D36" s="287"/>
      <c r="E36" s="73" t="s">
        <v>23</v>
      </c>
      <c r="F36" s="67">
        <f>COUNTIF((A1:H18),"*cande*")</f>
        <v>12</v>
      </c>
      <c r="G36" s="81">
        <f t="shared" si="1"/>
        <v>216</v>
      </c>
    </row>
    <row r="37" spans="3:8">
      <c r="C37" s="88"/>
      <c r="D37" s="66" t="s">
        <v>18</v>
      </c>
      <c r="E37" s="135" t="s">
        <v>173</v>
      </c>
      <c r="F37" s="67">
        <f>COUNTIF((A1:H18),"*aina*")</f>
        <v>27</v>
      </c>
      <c r="G37" s="81">
        <f t="shared" si="1"/>
        <v>486</v>
      </c>
    </row>
    <row r="38" spans="3:8">
      <c r="C38" s="283" t="s">
        <v>83</v>
      </c>
      <c r="D38" s="282"/>
      <c r="E38" s="85" t="s">
        <v>36</v>
      </c>
      <c r="F38" s="67">
        <f>COUNTIF((A1:H18),"*raul*")</f>
        <v>23</v>
      </c>
      <c r="G38" s="81">
        <f t="shared" si="1"/>
        <v>414</v>
      </c>
    </row>
    <row r="39" spans="3:8">
      <c r="C39" t="s">
        <v>161</v>
      </c>
      <c r="E39" s="138" t="s">
        <v>204</v>
      </c>
      <c r="F39" s="67">
        <f>COUNTIF((A2:H19),"*mary*")</f>
        <v>18</v>
      </c>
      <c r="G39" s="81">
        <f t="shared" si="1"/>
        <v>324</v>
      </c>
    </row>
    <row r="40" spans="3:8" ht="15.75" customHeight="1">
      <c r="C40" s="88" t="s">
        <v>214</v>
      </c>
      <c r="E40" s="138" t="s">
        <v>205</v>
      </c>
      <c r="F40" s="67">
        <f>COUNTIF((A3:H20),"*jon*")</f>
        <v>14</v>
      </c>
      <c r="G40" s="81">
        <f t="shared" si="1"/>
        <v>252</v>
      </c>
    </row>
    <row r="41" spans="3:8" ht="15" customHeight="1">
      <c r="C41" s="88" t="s">
        <v>220</v>
      </c>
      <c r="E41" s="138" t="s">
        <v>206</v>
      </c>
      <c r="F41" s="67">
        <f>COUNTIF((A4:H21),"*amber*")</f>
        <v>5</v>
      </c>
      <c r="G41" s="81">
        <f t="shared" si="1"/>
        <v>90</v>
      </c>
    </row>
    <row r="42" spans="3:8">
      <c r="C42" s="88" t="s">
        <v>215</v>
      </c>
      <c r="D42" s="139" t="s">
        <v>18</v>
      </c>
      <c r="E42" s="138" t="s">
        <v>207</v>
      </c>
      <c r="F42" s="67">
        <f>COUNTIF((A1:H18),"*jaz*")</f>
        <v>23</v>
      </c>
      <c r="G42" s="81">
        <f t="shared" si="1"/>
        <v>414</v>
      </c>
    </row>
    <row r="43" spans="3:8">
      <c r="C43" s="88" t="s">
        <v>216</v>
      </c>
      <c r="E43" s="138" t="s">
        <v>185</v>
      </c>
      <c r="F43" s="67">
        <f>COUNTIF((A1:H18),"*mateo*")</f>
        <v>5</v>
      </c>
      <c r="G43" s="81">
        <f t="shared" si="1"/>
        <v>90</v>
      </c>
    </row>
    <row r="44" spans="3:8">
      <c r="C44" s="88"/>
      <c r="D44" s="139" t="s">
        <v>18</v>
      </c>
      <c r="E44" s="138" t="s">
        <v>213</v>
      </c>
      <c r="F44" s="67">
        <f>COUNTIF((A2:H19),"*nahuel*")</f>
        <v>17</v>
      </c>
      <c r="G44" s="81">
        <f t="shared" si="1"/>
        <v>306</v>
      </c>
    </row>
    <row r="45" spans="3:8">
      <c r="C45" s="283" t="s">
        <v>42</v>
      </c>
      <c r="D45" s="284"/>
      <c r="E45" s="121" t="s">
        <v>41</v>
      </c>
      <c r="F45" s="67">
        <f>COUNTIF((A1:H18),"*maria*")</f>
        <v>8</v>
      </c>
      <c r="G45" s="81">
        <v>165</v>
      </c>
    </row>
    <row r="46" spans="3:8">
      <c r="C46" t="s">
        <v>168</v>
      </c>
      <c r="D46" s="106"/>
      <c r="E46" t="s">
        <v>167</v>
      </c>
      <c r="F46" s="67">
        <f>COUNTIF((A4:H18),"*isa*")</f>
        <v>2</v>
      </c>
      <c r="G46" s="81">
        <v>50</v>
      </c>
    </row>
    <row r="47" spans="3:8">
      <c r="C47" s="88"/>
      <c r="D47" s="77"/>
      <c r="E47" s="78" t="s">
        <v>28</v>
      </c>
      <c r="F47" s="77">
        <f>SUM(F28:F45)</f>
        <v>259</v>
      </c>
      <c r="G47" s="77">
        <f>SUM(G28:G45)</f>
        <v>4642</v>
      </c>
    </row>
  </sheetData>
  <mergeCells count="10">
    <mergeCell ref="C45:D45"/>
    <mergeCell ref="C32:D32"/>
    <mergeCell ref="C34:D34"/>
    <mergeCell ref="C36:D36"/>
    <mergeCell ref="C38:D38"/>
    <mergeCell ref="E18:H19"/>
    <mergeCell ref="C28:D28"/>
    <mergeCell ref="C29:D29"/>
    <mergeCell ref="C30:D30"/>
    <mergeCell ref="C31:D31"/>
  </mergeCells>
  <conditionalFormatting sqref="B18:D18">
    <cfRule type="expression" dxfId="5" priority="1">
      <formula>AND(DAY(B18)&gt;=1,DAY(B18)&lt;=15)</formula>
    </cfRule>
  </conditionalFormatting>
  <conditionalFormatting sqref="B3:G3">
    <cfRule type="expression" dxfId="4" priority="2">
      <formula>DAY(B3)&gt;8</formula>
    </cfRule>
  </conditionalFormatting>
  <conditionalFormatting sqref="B15:H15">
    <cfRule type="expression" dxfId="3" priority="3">
      <formula>AND(DAY(B15)&gt;=1,DAY(B15)&lt;=15)</formula>
    </cfRule>
  </conditionalFormatting>
  <dataValidations count="9">
    <dataValidation allowBlank="1" showInputMessage="1" showErrorMessage="1" prompt="Esta fila y las filas 5, 7, 9, 11 y 13 contienen días naturales de la semana. Si esta celda no contiene el número 1, se trata de un día del mes anterior. Escriba notas en la celda E13." sqref="B3" xr:uid="{E0A2ED8B-656C-4529-89C2-D12E05A20ED0}"/>
    <dataValidation allowBlank="1" showInputMessage="1" showErrorMessage="1" prompt="El año en esta celda se actualiza automáticamente. Seleccione otro año en la celda K3 de la hoja de cálculo Enero para cambiar el año" sqref="C1" xr:uid="{5DB2D3DA-4869-49B5-89A1-C2342D1EB9C1}"/>
    <dataValidation allowBlank="1" showInputMessage="1" showErrorMessage="1" prompt="Las celdas de esta fila y las filas 6, 8, 10, 12 y 14 son para escribir notas diarias relacionadas con el día natural de la celda anterior." sqref="B4:B5" xr:uid="{A9FFD91E-4EE5-437A-AC2F-54494A5D8BCC}"/>
    <dataValidation allowBlank="1" showInputMessage="1" showErrorMessage="1" prompt="Escriba notas en esta celda." sqref="E18:H19" xr:uid="{F5DA0549-76D9-495B-A72F-F96E456D80EF}"/>
    <dataValidation allowBlank="1" showInputMessage="1" showErrorMessage="1" prompt="Escriba notas en la celda a la derecha." sqref="D18:D19" xr:uid="{39798873-C946-462A-8D67-D5B5D850F906}"/>
    <dataValidation allowBlank="1" showInputMessage="1" showErrorMessage="1" prompt="Calendario del mes de octubre" sqref="A1" xr:uid="{D2FEF969-6149-4001-B34E-16F89C811604}"/>
    <dataValidation allowBlank="1" showInputMessage="1" showErrorMessage="1" prompt="Esta fila contiene los nombres de los días laborables de este calendario. Esta celda contiene el día de inicio de la semana. Para cambiar el día de inicio, escriba un nuevo día laborable en la celda K4 de la hoja de cálculo Enero." sqref="B2" xr:uid="{FB71636A-EAF2-4D95-8363-A7F9AD7E742C}"/>
    <dataValidation allowBlank="1" showErrorMessage="1" prompt="El año de esta celda se actualiza automáticamente según el año especificado en la hoja de cálculo de Enero. El calendario siguiente incluye fechas de los meses anterior y posterior con un sombreado de fuente más claro." sqref="B1" xr:uid="{92B41CEF-E8F9-41D4-A40C-174AC590F6A2}"/>
    <dataValidation allowBlank="1" showInputMessage="1" showErrorMessage="1" prompt="El día de la semana se determinará automáticamente" sqref="C2:H2" xr:uid="{AEEE0484-D1E3-41D3-8E1C-3D9667BA4ADA}"/>
  </dataValidations>
  <hyperlinks>
    <hyperlink ref="C29" r:id="rId1" display="javascript:envioPeticionOpcion(1, 'ME','2mOPDtwhtSfaY48O3CG1JwAAAXXtvAnM2FkdViqMup8','N','*amp*FILTRO_TLA1=N*amp*FILTRO_TLA1_contracteCarrec=*amp*FILTRO_TLA1_referenciaUnica=*amp*FILTRO_TLA1_contracteAbon=*amp*FILTRO_TLA1_indContracteAbon=*amp*TIPUS_CONSULTA=*amp*FILTRO_TLA1_codiDivisa=*amp*FILTRO_TLA1_indicadorEfectiu=*amp*FILTRO_TLA1_oficina=*amp*FILTRO_TLA1_entitat=*amp*FILTRO_TLA1_codiEntitat=*amp*FILTRO_TLA1_importInicial=*amp*FILTRO_TLA1_importFinal=*amp*FILTRO_TLA1_dataInici=*amp*FILTRO_TLA1_dataFin=*amp*FILTRO_TLA1_estat=*amp*FILTRO_TLA1_canal=*amp*FLUJO=UNI,100,:UNI,0,:GFI,7,*amp*LISTA_CUENTAS_IS_INICIO=S*amp*REFVAL_SIMPLE_CLAVE_CONTINUACION_CUENTAS=2mOPDvGIP~jaY48O8Yg_6AAAAXXtvzKyDsc1K_SK_nk*amp*TIPO_LISTADO=T*amp*TIPUS_TRANSFERENCIA=ME*amp*IND_CONTINUACION=*amp*CLAU_CONTINUACION=*amp*PESTANA=TTU','bernat','2mOPDtw7B1vaY48O3DsHWwAAAXXtvAnL9Lwo0vxpEfI')" xr:uid="{123D26A3-5FAB-4CFF-8B09-7EFD19BC5410}"/>
  </hyperlinks>
  <printOptions horizontalCentered="1" verticalCentered="1"/>
  <pageMargins left="0.7" right="0.7" top="0.75" bottom="0.75" header="0.3" footer="0.3"/>
  <pageSetup paperSize="9" scale="83" orientation="landscape" r:id="rId2"/>
  <headerFooter differentFirst="1">
    <oddFooter>Page &amp;P of &amp;N</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1E711-3711-4AB1-A45A-389ADEC0AA80}">
  <sheetPr>
    <tabColor theme="9" tint="-0.499984740745262"/>
    <pageSetUpPr fitToPage="1"/>
  </sheetPr>
  <dimension ref="B1:H47"/>
  <sheetViews>
    <sheetView showGridLines="0" topLeftCell="A14" zoomScale="90" zoomScaleNormal="90" workbookViewId="0">
      <selection activeCell="F16" sqref="F16"/>
    </sheetView>
  </sheetViews>
  <sheetFormatPr baseColWidth="10" defaultColWidth="8.88671875" defaultRowHeight="14.25"/>
  <cols>
    <col min="1" max="1" width="2.77734375" customWidth="1"/>
    <col min="2" max="2" width="18.44140625" customWidth="1"/>
    <col min="3" max="8" width="17.77734375" customWidth="1"/>
    <col min="9" max="9" width="2.77734375" customWidth="1"/>
  </cols>
  <sheetData>
    <row r="1" spans="2:8" ht="59.25" customHeight="1">
      <c r="B1" s="53" t="str">
        <f>"Noviembre "&amp;Acalendario</f>
        <v>Noviembre 2024</v>
      </c>
      <c r="C1" s="47"/>
      <c r="D1" s="47"/>
      <c r="E1" s="48"/>
      <c r="F1" s="48"/>
      <c r="G1" s="48"/>
      <c r="H1" s="49"/>
    </row>
    <row r="2" spans="2:8" ht="21.75" customHeight="1">
      <c r="B2" s="5" t="str">
        <f>IF(InicioDeSemana="DOMINGO", "DOMINGO","LUNES")</f>
        <v>LUNES</v>
      </c>
      <c r="C2" s="5" t="str">
        <f t="shared" ref="C2:H2" si="0">UPPER(TEXT(C3,"dddd"))</f>
        <v>MARTES</v>
      </c>
      <c r="D2" s="5" t="str">
        <f t="shared" si="0"/>
        <v>MIÉRCOLES</v>
      </c>
      <c r="E2" s="5" t="str">
        <f t="shared" si="0"/>
        <v>JUEVES</v>
      </c>
      <c r="F2" s="5" t="str">
        <f t="shared" si="0"/>
        <v>VIERNES</v>
      </c>
      <c r="G2" s="5" t="str">
        <f t="shared" si="0"/>
        <v>SÁBADO</v>
      </c>
      <c r="H2" s="5" t="str">
        <f t="shared" si="0"/>
        <v>DOMINGO</v>
      </c>
    </row>
    <row r="3" spans="2:8" ht="19.5" customHeight="1">
      <c r="B3" s="59">
        <f t="array" ref="B3:H3">DaysAndWeeks+DATE(Acalendario,11,1)-WEEKDAY(DATE(Acalendario,11,1),(InicioDeSemana="LUNES")+1)+1</f>
        <v>45593</v>
      </c>
      <c r="C3" s="59">
        <v>45594</v>
      </c>
      <c r="D3" s="59">
        <v>45595</v>
      </c>
      <c r="E3" s="59">
        <v>45596</v>
      </c>
      <c r="F3" s="59">
        <v>45597</v>
      </c>
      <c r="G3" s="59">
        <v>45598</v>
      </c>
      <c r="H3" s="59">
        <v>45599</v>
      </c>
    </row>
    <row r="4" spans="2:8" ht="57.95" customHeight="1">
      <c r="B4" s="59"/>
      <c r="C4" s="59"/>
      <c r="D4" s="59"/>
      <c r="E4" s="59"/>
      <c r="F4" s="90" t="s">
        <v>192</v>
      </c>
      <c r="G4" s="59" t="s">
        <v>222</v>
      </c>
      <c r="H4" s="59"/>
    </row>
    <row r="5" spans="2:8" ht="57.95" customHeight="1">
      <c r="B5" s="79"/>
      <c r="C5" s="79"/>
      <c r="D5" s="79"/>
      <c r="E5" s="79"/>
      <c r="F5" s="79" t="s">
        <v>27</v>
      </c>
      <c r="G5" s="79"/>
      <c r="H5" s="79"/>
    </row>
    <row r="6" spans="2:8" ht="19.5" customHeight="1">
      <c r="B6" s="60">
        <f t="array" ref="B6:H6">DaysAndWeeks+DATE(Acalendario,11,1)-WEEKDAY(DATE(Acalendario,11,1),(InicioDeSemana="LUNES")+1)+8</f>
        <v>45600</v>
      </c>
      <c r="C6" s="60">
        <v>45601</v>
      </c>
      <c r="D6" s="60">
        <v>45602</v>
      </c>
      <c r="E6" s="60">
        <v>45603</v>
      </c>
      <c r="F6" s="60">
        <v>45604</v>
      </c>
      <c r="G6" s="60">
        <v>45605</v>
      </c>
      <c r="H6" s="60">
        <v>45606</v>
      </c>
    </row>
    <row r="7" spans="2:8" ht="57.95" customHeight="1">
      <c r="B7" s="60" t="s">
        <v>233</v>
      </c>
      <c r="C7" s="83" t="s">
        <v>210</v>
      </c>
      <c r="D7" s="60" t="s">
        <v>230</v>
      </c>
      <c r="E7" s="90" t="s">
        <v>229</v>
      </c>
      <c r="F7" s="90" t="s">
        <v>192</v>
      </c>
      <c r="G7" s="60" t="s">
        <v>223</v>
      </c>
      <c r="H7" s="60"/>
    </row>
    <row r="8" spans="2:8" ht="57.95" customHeight="1">
      <c r="B8" s="134" t="s">
        <v>181</v>
      </c>
      <c r="C8" s="134" t="s">
        <v>227</v>
      </c>
      <c r="D8" s="134" t="s">
        <v>27</v>
      </c>
      <c r="E8" s="134" t="s">
        <v>190</v>
      </c>
      <c r="F8" s="134" t="s">
        <v>27</v>
      </c>
      <c r="G8" s="75"/>
      <c r="H8" s="75"/>
    </row>
    <row r="9" spans="2:8" ht="19.5" customHeight="1">
      <c r="B9" s="59">
        <f t="array" ref="B9:H9">DaysAndWeeks+DATE(Acalendario,11,1)-WEEKDAY(DATE(Acalendario,11,1),(InicioDeSemana="LUNES")+1)+15</f>
        <v>45607</v>
      </c>
      <c r="C9" s="59">
        <v>45608</v>
      </c>
      <c r="D9" s="59">
        <v>45609</v>
      </c>
      <c r="E9" s="59">
        <v>45610</v>
      </c>
      <c r="F9" s="59">
        <v>45611</v>
      </c>
      <c r="G9" s="59">
        <v>45612</v>
      </c>
      <c r="H9" s="59">
        <v>45613</v>
      </c>
    </row>
    <row r="10" spans="2:8" ht="57.95" customHeight="1">
      <c r="B10" s="60" t="s">
        <v>233</v>
      </c>
      <c r="C10" s="83" t="s">
        <v>210</v>
      </c>
      <c r="D10" s="60" t="s">
        <v>230</v>
      </c>
      <c r="E10" s="90" t="s">
        <v>229</v>
      </c>
      <c r="F10" s="90" t="s">
        <v>228</v>
      </c>
      <c r="G10" s="59" t="s">
        <v>224</v>
      </c>
      <c r="H10" s="59"/>
    </row>
    <row r="11" spans="2:8" ht="57.95" customHeight="1">
      <c r="B11" s="134" t="s">
        <v>226</v>
      </c>
      <c r="C11" s="134" t="s">
        <v>227</v>
      </c>
      <c r="D11" s="134" t="s">
        <v>227</v>
      </c>
      <c r="E11" s="134" t="s">
        <v>190</v>
      </c>
      <c r="F11" s="134" t="s">
        <v>27</v>
      </c>
      <c r="G11" s="79"/>
      <c r="H11" s="79"/>
    </row>
    <row r="12" spans="2:8" ht="19.5" customHeight="1">
      <c r="B12" s="60">
        <f t="array" ref="B12:H12">DaysAndWeeks+DATE(Acalendario,11,1)-WEEKDAY(DATE(Acalendario,11,1),(InicioDeSemana="LUNES")+1)+22</f>
        <v>45614</v>
      </c>
      <c r="C12" s="60">
        <v>45615</v>
      </c>
      <c r="D12" s="60">
        <v>45616</v>
      </c>
      <c r="E12" s="60">
        <v>45617</v>
      </c>
      <c r="F12" s="60">
        <v>45618</v>
      </c>
      <c r="G12" s="60">
        <v>45619</v>
      </c>
      <c r="H12" s="60">
        <v>45620</v>
      </c>
    </row>
    <row r="13" spans="2:8" ht="57.95" customHeight="1">
      <c r="B13" s="60" t="s">
        <v>235</v>
      </c>
      <c r="C13" s="83" t="s">
        <v>210</v>
      </c>
      <c r="D13" s="60" t="s">
        <v>196</v>
      </c>
      <c r="E13" s="90" t="s">
        <v>229</v>
      </c>
      <c r="F13" s="90" t="s">
        <v>228</v>
      </c>
      <c r="G13" s="60" t="s">
        <v>225</v>
      </c>
      <c r="H13" s="60"/>
    </row>
    <row r="14" spans="2:8" ht="57.95" customHeight="1">
      <c r="B14" s="134" t="s">
        <v>226</v>
      </c>
      <c r="C14" s="134" t="s">
        <v>227</v>
      </c>
      <c r="D14" s="134" t="s">
        <v>227</v>
      </c>
      <c r="E14" s="134" t="s">
        <v>190</v>
      </c>
      <c r="F14" s="134" t="s">
        <v>27</v>
      </c>
      <c r="G14" s="75"/>
      <c r="H14" s="75"/>
    </row>
    <row r="15" spans="2:8" ht="19.5" customHeight="1">
      <c r="B15" s="59">
        <f t="array" ref="B15:H15">DaysAndWeeks+DATE(Acalendario,11,1)-WEEKDAY(DATE(Acalendario,11,1),(InicioDeSemana="LUNES")+1)+29</f>
        <v>45621</v>
      </c>
      <c r="C15" s="59">
        <v>45622</v>
      </c>
      <c r="D15" s="59">
        <v>45623</v>
      </c>
      <c r="E15" s="59">
        <v>45624</v>
      </c>
      <c r="F15" s="59">
        <v>45625</v>
      </c>
      <c r="G15" s="59">
        <v>45626</v>
      </c>
      <c r="H15" s="59">
        <v>45627</v>
      </c>
    </row>
    <row r="16" spans="2:8" ht="57.95" customHeight="1">
      <c r="B16" s="60" t="s">
        <v>232</v>
      </c>
      <c r="C16" s="83" t="s">
        <v>231</v>
      </c>
      <c r="D16" s="60" t="s">
        <v>230</v>
      </c>
      <c r="E16" s="90" t="s">
        <v>229</v>
      </c>
      <c r="F16" s="90" t="s">
        <v>228</v>
      </c>
      <c r="G16" s="59" t="s">
        <v>236</v>
      </c>
      <c r="H16" s="59"/>
    </row>
    <row r="17" spans="2:8" ht="57.95" customHeight="1">
      <c r="B17" s="134" t="s">
        <v>195</v>
      </c>
      <c r="C17" s="134" t="s">
        <v>227</v>
      </c>
      <c r="D17" s="134" t="s">
        <v>227</v>
      </c>
      <c r="E17" s="134" t="s">
        <v>190</v>
      </c>
      <c r="F17" s="134" t="s">
        <v>27</v>
      </c>
      <c r="G17" s="59"/>
      <c r="H17" s="59"/>
    </row>
    <row r="18" spans="2:8" ht="19.5" customHeight="1">
      <c r="B18" s="60">
        <f t="array" ref="B18:C18">DaysAndWeeks+DATE(Acalendario,11,1)-WEEKDAY(DATE(Acalendario,11,1),(InicioDeSemana="LUNES")+1)+36</f>
        <v>45628</v>
      </c>
      <c r="C18" s="60">
        <v>45629</v>
      </c>
      <c r="D18" s="63" t="s">
        <v>0</v>
      </c>
      <c r="E18" s="251"/>
      <c r="F18" s="251"/>
      <c r="G18" s="251"/>
      <c r="H18" s="252"/>
    </row>
    <row r="19" spans="2:8" ht="57.95" customHeight="1">
      <c r="B19" s="60"/>
      <c r="C19" s="60"/>
      <c r="D19" s="7"/>
      <c r="E19" s="253"/>
      <c r="F19" s="253"/>
      <c r="G19" s="253"/>
      <c r="H19" s="254"/>
    </row>
    <row r="29" spans="2:8">
      <c r="D29" s="107"/>
      <c r="E29" s="67" t="s">
        <v>6</v>
      </c>
      <c r="F29" s="140" t="s">
        <v>221</v>
      </c>
    </row>
    <row r="30" spans="2:8">
      <c r="C30" s="282" t="s">
        <v>8</v>
      </c>
      <c r="D30" s="282"/>
      <c r="E30" s="67" t="s">
        <v>9</v>
      </c>
      <c r="F30" s="67">
        <f>COUNTIF((A6:G19),"*estel*")</f>
        <v>0</v>
      </c>
      <c r="G30">
        <f>F30*18</f>
        <v>0</v>
      </c>
    </row>
    <row r="31" spans="2:8">
      <c r="C31" s="282" t="s">
        <v>12</v>
      </c>
      <c r="D31" s="282"/>
      <c r="E31" s="67" t="s">
        <v>13</v>
      </c>
      <c r="F31" s="67">
        <f>COUNTIF((A3:H19),"*bernat*")</f>
        <v>13</v>
      </c>
      <c r="G31" s="81">
        <f>F31*20</f>
        <v>260</v>
      </c>
    </row>
    <row r="32" spans="2:8">
      <c r="C32" s="282" t="s">
        <v>14</v>
      </c>
      <c r="D32" s="282"/>
      <c r="E32" s="67" t="s">
        <v>15</v>
      </c>
      <c r="F32" s="67">
        <f>COUNTIF((A3:H20),"*pati*")</f>
        <v>7</v>
      </c>
      <c r="G32" s="81">
        <f>F32*18</f>
        <v>126</v>
      </c>
    </row>
    <row r="33" spans="3:8">
      <c r="C33" s="282" t="s">
        <v>16</v>
      </c>
      <c r="D33" s="282"/>
      <c r="E33" s="128" t="s">
        <v>17</v>
      </c>
      <c r="F33" s="67">
        <f>COUNTIF((A3:H20),"*mario*")</f>
        <v>38</v>
      </c>
      <c r="G33" s="81">
        <v>650</v>
      </c>
    </row>
    <row r="34" spans="3:8">
      <c r="C34" s="283" t="s">
        <v>95</v>
      </c>
      <c r="D34" s="284"/>
      <c r="E34" s="113" t="s">
        <v>90</v>
      </c>
      <c r="F34" s="67">
        <f>COUNTIF((A3:H20),"*nuria*")</f>
        <v>5</v>
      </c>
      <c r="G34" s="81">
        <v>100</v>
      </c>
    </row>
    <row r="35" spans="3:8">
      <c r="C35" s="88"/>
      <c r="D35" s="107" t="s">
        <v>18</v>
      </c>
      <c r="E35" s="136" t="s">
        <v>20</v>
      </c>
      <c r="F35" s="67">
        <f>COUNTIF((A3:H20),"*zaro*")</f>
        <v>20</v>
      </c>
      <c r="G35" s="81">
        <f t="shared" ref="G35:G44" si="1">F35*18</f>
        <v>360</v>
      </c>
      <c r="H35" t="s">
        <v>238</v>
      </c>
    </row>
    <row r="36" spans="3:8">
      <c r="C36" s="283" t="s">
        <v>59</v>
      </c>
      <c r="D36" s="284"/>
      <c r="E36" s="67" t="s">
        <v>21</v>
      </c>
      <c r="F36" s="67">
        <f>COUNTIF((A3:H20),"*nico*")</f>
        <v>8</v>
      </c>
      <c r="G36" s="81">
        <f t="shared" si="1"/>
        <v>144</v>
      </c>
    </row>
    <row r="37" spans="3:8">
      <c r="C37" s="283" t="s">
        <v>237</v>
      </c>
      <c r="D37" s="284"/>
      <c r="E37" s="67" t="s">
        <v>26</v>
      </c>
      <c r="F37" s="67">
        <f>COUNTIF((A3:H20),"*lolo*")</f>
        <v>8</v>
      </c>
      <c r="G37" s="81">
        <f t="shared" si="1"/>
        <v>144</v>
      </c>
    </row>
    <row r="38" spans="3:8">
      <c r="C38" s="88"/>
      <c r="D38" s="66" t="s">
        <v>18</v>
      </c>
      <c r="E38" s="135" t="s">
        <v>173</v>
      </c>
      <c r="F38" s="67">
        <v>23</v>
      </c>
      <c r="G38" s="81">
        <f t="shared" si="1"/>
        <v>414</v>
      </c>
    </row>
    <row r="39" spans="3:8">
      <c r="C39" s="283" t="s">
        <v>83</v>
      </c>
      <c r="D39" s="282"/>
      <c r="E39" s="85" t="s">
        <v>36</v>
      </c>
      <c r="F39" s="67">
        <f>COUNTIF((A3:H20),"*raul*")</f>
        <v>21</v>
      </c>
      <c r="G39" s="81">
        <f t="shared" si="1"/>
        <v>378</v>
      </c>
    </row>
    <row r="40" spans="3:8">
      <c r="C40" t="s">
        <v>161</v>
      </c>
      <c r="E40" s="138" t="s">
        <v>204</v>
      </c>
      <c r="F40" s="67">
        <f>COUNTIF((A4:H21),"*mary*")</f>
        <v>17</v>
      </c>
      <c r="G40" s="81">
        <f t="shared" si="1"/>
        <v>306</v>
      </c>
    </row>
    <row r="41" spans="3:8">
      <c r="C41" s="283" t="s">
        <v>214</v>
      </c>
      <c r="D41" s="282"/>
      <c r="E41" s="138" t="s">
        <v>205</v>
      </c>
      <c r="F41" s="67">
        <f>COUNTIF((A5:H22),"*jon*")</f>
        <v>12</v>
      </c>
      <c r="G41" s="81">
        <f t="shared" si="1"/>
        <v>216</v>
      </c>
    </row>
    <row r="42" spans="3:8">
      <c r="C42" s="283" t="s">
        <v>220</v>
      </c>
      <c r="D42" s="282"/>
      <c r="E42" s="138" t="s">
        <v>206</v>
      </c>
      <c r="F42" s="67">
        <f>COUNTIF((A5:H23),"*amber*")</f>
        <v>16</v>
      </c>
      <c r="G42" s="81">
        <f t="shared" si="1"/>
        <v>288</v>
      </c>
    </row>
    <row r="43" spans="3:8">
      <c r="C43" s="283" t="s">
        <v>215</v>
      </c>
      <c r="D43" s="282"/>
      <c r="E43" s="138" t="s">
        <v>207</v>
      </c>
      <c r="F43" s="67">
        <f>COUNTIF((A3:H20),"*jaz*")</f>
        <v>16</v>
      </c>
      <c r="G43" s="81">
        <f t="shared" si="1"/>
        <v>288</v>
      </c>
    </row>
    <row r="44" spans="3:8">
      <c r="C44" s="283" t="s">
        <v>216</v>
      </c>
      <c r="D44" s="282"/>
      <c r="E44" s="138" t="s">
        <v>185</v>
      </c>
      <c r="F44" s="67">
        <f>COUNTIF((A3:H20),"*mateo*")</f>
        <v>8</v>
      </c>
      <c r="G44" s="81">
        <f t="shared" si="1"/>
        <v>144</v>
      </c>
    </row>
    <row r="45" spans="3:8">
      <c r="C45" s="88"/>
      <c r="D45" s="139" t="s">
        <v>18</v>
      </c>
      <c r="E45" s="141" t="s">
        <v>234</v>
      </c>
      <c r="F45" s="67">
        <f>COUNTIF((A4:H21),"*theo*")</f>
        <v>8</v>
      </c>
      <c r="G45">
        <f>F45*15</f>
        <v>120</v>
      </c>
    </row>
    <row r="46" spans="3:8">
      <c r="C46" t="s">
        <v>168</v>
      </c>
      <c r="D46" s="106"/>
      <c r="E46" t="s">
        <v>167</v>
      </c>
      <c r="F46" s="67">
        <v>3</v>
      </c>
      <c r="G46" s="81">
        <v>75</v>
      </c>
    </row>
    <row r="47" spans="3:8">
      <c r="C47" s="88"/>
      <c r="D47" s="77"/>
      <c r="E47" s="78" t="s">
        <v>28</v>
      </c>
      <c r="F47" s="77">
        <f>SUM(F30:F46)</f>
        <v>223</v>
      </c>
      <c r="G47" s="77">
        <f>SUM(G30:G45)</f>
        <v>3938</v>
      </c>
    </row>
  </sheetData>
  <mergeCells count="13">
    <mergeCell ref="C44:D44"/>
    <mergeCell ref="C43:D43"/>
    <mergeCell ref="E18:H19"/>
    <mergeCell ref="C30:D30"/>
    <mergeCell ref="C31:D31"/>
    <mergeCell ref="C32:D32"/>
    <mergeCell ref="C33:D33"/>
    <mergeCell ref="C34:D34"/>
    <mergeCell ref="C36:D36"/>
    <mergeCell ref="C39:D39"/>
    <mergeCell ref="C41:D41"/>
    <mergeCell ref="C42:D42"/>
    <mergeCell ref="C37:D37"/>
  </mergeCells>
  <conditionalFormatting sqref="B18:D18">
    <cfRule type="expression" dxfId="2" priority="1">
      <formula>AND(DAY(B18)&gt;=1,DAY(B18)&lt;=15)</formula>
    </cfRule>
  </conditionalFormatting>
  <conditionalFormatting sqref="B3:G3">
    <cfRule type="expression" dxfId="1" priority="2">
      <formula>DAY(B3)&gt;8</formula>
    </cfRule>
  </conditionalFormatting>
  <conditionalFormatting sqref="B15:H15">
    <cfRule type="expression" dxfId="0" priority="3">
      <formula>AND(DAY(B15)&gt;=1,DAY(B15)&lt;=15)</formula>
    </cfRule>
  </conditionalFormatting>
  <dataValidations disablePrompts="1" count="9">
    <dataValidation allowBlank="1" showInputMessage="1" showErrorMessage="1" prompt="Esta fila y las filas 5, 7, 9, 11 y 13 contienen días naturales de la semana. Si esta celda no contiene el número 1, se trata de un día del mes anterior. Escriba notas en la celda E13." sqref="B3" xr:uid="{8D3DDABB-CE6A-44AF-804A-CD525CF57EBF}"/>
    <dataValidation allowBlank="1" showInputMessage="1" showErrorMessage="1" prompt="El año en esta celda se actualiza automáticamente. Seleccione otro año en la celda K3 de la hoja de cálculo Enero para cambiar el año" sqref="C1" xr:uid="{01DADE59-731B-43E3-A98D-579CFA29D5BF}"/>
    <dataValidation allowBlank="1" showInputMessage="1" showErrorMessage="1" prompt="Escriba notas en esta celda." sqref="E18:H19" xr:uid="{FFD546D3-BBFB-4112-83DF-99C0D07EE786}"/>
    <dataValidation allowBlank="1" showInputMessage="1" showErrorMessage="1" prompt="Escriba notas en la celda a la derecha." sqref="D18:D19" xr:uid="{39D9B42E-74E1-493E-BD38-39715760AD2F}"/>
    <dataValidation allowBlank="1" showInputMessage="1" showErrorMessage="1" prompt="Calendario del mes de noviembre" sqref="A1" xr:uid="{2EEEFB2D-6B36-4800-8517-C1F699C26C7A}"/>
    <dataValidation allowBlank="1" showInputMessage="1" showErrorMessage="1" prompt="Esta fila contiene los nombres de los días laborables de este calendario. Esta celda contiene el día de inicio de la semana. Para cambiar el día de inicio, escriba un nuevo día laborable en la celda K4 de la hoja de cálculo Enero." sqref="B2" xr:uid="{37707F47-93B3-4623-B31A-2B6FAA32F106}"/>
    <dataValidation allowBlank="1" showErrorMessage="1" prompt="El año de esta celda se actualiza automáticamente según el año especificado en la hoja de cálculo de Enero. El calendario siguiente incluye fechas de los meses anterior y posterior con un sombreado de fuente más claro." sqref="B1" xr:uid="{4C188DF0-50BF-4C83-9086-25966CD2F599}"/>
    <dataValidation allowBlank="1" showInputMessage="1" showErrorMessage="1" prompt="El día de la semana se determinará automáticamente" sqref="C2:H2" xr:uid="{31D61C87-4CC9-45DC-B05B-10D6B6BFD24C}"/>
    <dataValidation allowBlank="1" showInputMessage="1" showErrorMessage="1" prompt="Las celdas de esta fila y las filas 6, 8, 10, 12 y 14 son para escribir notas diarias relacionadas con el día natural de la celda anterior." sqref="B4:B5" xr:uid="{BB3899A5-5C2B-46BA-AEF9-510F87B25BF7}"/>
  </dataValidations>
  <hyperlinks>
    <hyperlink ref="C31" r:id="rId1" display="javascript:envioPeticionOpcion(1, 'ME','2mOPDtwhtSfaY48O3CG1JwAAAXXtvAnM2FkdViqMup8','N','*amp*FILTRO_TLA1=N*amp*FILTRO_TLA1_contracteCarrec=*amp*FILTRO_TLA1_referenciaUnica=*amp*FILTRO_TLA1_contracteAbon=*amp*FILTRO_TLA1_indContracteAbon=*amp*TIPUS_CONSULTA=*amp*FILTRO_TLA1_codiDivisa=*amp*FILTRO_TLA1_indicadorEfectiu=*amp*FILTRO_TLA1_oficina=*amp*FILTRO_TLA1_entitat=*amp*FILTRO_TLA1_codiEntitat=*amp*FILTRO_TLA1_importInicial=*amp*FILTRO_TLA1_importFinal=*amp*FILTRO_TLA1_dataInici=*amp*FILTRO_TLA1_dataFin=*amp*FILTRO_TLA1_estat=*amp*FILTRO_TLA1_canal=*amp*FLUJO=UNI,100,:UNI,0,:GFI,7,*amp*LISTA_CUENTAS_IS_INICIO=S*amp*REFVAL_SIMPLE_CLAVE_CONTINUACION_CUENTAS=2mOPDvGIP~jaY48O8Yg_6AAAAXXtvzKyDsc1K_SK_nk*amp*TIPO_LISTADO=T*amp*TIPUS_TRANSFERENCIA=ME*amp*IND_CONTINUACION=*amp*CLAU_CONTINUACION=*amp*PESTANA=TTU','bernat','2mOPDtw7B1vaY48O3DsHWwAAAXXtvAnL9Lwo0vxpEfI')" xr:uid="{4713EEB4-AF8E-494E-97DC-B47FA42FB866}"/>
  </hyperlinks>
  <printOptions horizontalCentered="1" verticalCentered="1"/>
  <pageMargins left="0.7" right="0.7" top="0.75" bottom="0.75" header="0.3" footer="0.3"/>
  <pageSetup paperSize="9" scale="83" orientation="landscape" r:id="rId2"/>
  <headerFooter differentFirst="1">
    <oddFooter>Page &amp;P of &amp;N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Status xmlns="71af3243-3dd4-4a8d-8c0d-dd76da1f02a5">Not started</Status>
    <MediaServiceKeyPoints xmlns="71af3243-3dd4-4a8d-8c0d-dd76da1f02a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12" ma:contentTypeDescription="Create a new document." ma:contentTypeScope="" ma:versionID="426e97fa315356fffbdcd9876fe988c2">
  <xsd:schema xmlns:xsd="http://www.w3.org/2001/XMLSchema" xmlns:xs="http://www.w3.org/2001/XMLSchema" xmlns:p="http://schemas.microsoft.com/office/2006/metadata/properties" xmlns:ns2="71af3243-3dd4-4a8d-8c0d-dd76da1f02a5" xmlns:ns3="16c05727-aa75-4e4a-9b5f-8a80a1165891" targetNamespace="http://schemas.microsoft.com/office/2006/metadata/properties" ma:root="true" ma:fieldsID="14b8f0def80e6d70ce3def20c90759ae" ns2:_="" ns3:_="">
    <xsd:import namespace="71af3243-3dd4-4a8d-8c0d-dd76da1f02a5"/>
    <xsd:import namespace="16c05727-aa75-4e4a-9b5f-8a80a1165891"/>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2: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internalName="MediaServiceOCR" ma:readOnly="true">
      <xsd:simpleType>
        <xsd:restriction base="dms:Note">
          <xsd:maxLength value="255"/>
        </xsd:restriction>
      </xsd:simpleType>
    </xsd:element>
    <xsd:element name="MediaServiceAutoTags" ma:index="11" nillable="true" ma:displayName="MediaServiceAutoTags"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fals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Status" ma:index="19" nillable="true" ma:displayName="Status" ma:default="Not started" ma:format="Dropdown" ma:internalName="Status">
      <xsd:simpleType>
        <xsd:restriction base="dms:Choice">
          <xsd:enumeration value="Not started"/>
          <xsd:enumeration value="In Progress"/>
          <xsd:enumeration value="Completed"/>
        </xsd:restrictio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DA10363-92EC-4580-AE8C-D8F6C7EC38E0}">
  <ds:schemaRefs>
    <ds:schemaRef ds:uri="http://schemas.microsoft.com/sharepoint/v3/contenttype/forms"/>
  </ds:schemaRefs>
</ds:datastoreItem>
</file>

<file path=customXml/itemProps2.xml><?xml version="1.0" encoding="utf-8"?>
<ds:datastoreItem xmlns:ds="http://schemas.openxmlformats.org/officeDocument/2006/customXml" ds:itemID="{BD90E721-6104-41D1-93BF-62E14EE01C6F}">
  <ds:schemaRefs>
    <ds:schemaRef ds:uri="http://schemas.microsoft.com/office/2006/metadata/properties"/>
    <ds:schemaRef ds:uri="http://schemas.microsoft.com/office/infopath/2007/PartnerControls"/>
    <ds:schemaRef ds:uri="http://purl.org/dc/dcmitype/"/>
    <ds:schemaRef ds:uri="http://purl.org/dc/elements/1.1/"/>
    <ds:schemaRef ds:uri="71af3243-3dd4-4a8d-8c0d-dd76da1f02a5"/>
    <ds:schemaRef ds:uri="http://schemas.microsoft.com/office/2006/documentManagement/types"/>
    <ds:schemaRef ds:uri="http://www.w3.org/XML/1998/namespace"/>
    <ds:schemaRef ds:uri="16c05727-aa75-4e4a-9b5f-8a80a1165891"/>
    <ds:schemaRef ds:uri="http://schemas.openxmlformats.org/package/2006/metadata/core-properties"/>
    <ds:schemaRef ds:uri="http://purl.org/dc/terms/"/>
  </ds:schemaRefs>
</ds:datastoreItem>
</file>

<file path=customXml/itemProps3.xml><?xml version="1.0" encoding="utf-8"?>
<ds:datastoreItem xmlns:ds="http://schemas.openxmlformats.org/officeDocument/2006/customXml" ds:itemID="{DF8A8BCD-244E-41CF-AC5A-813C9AEC7F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1af3243-3dd4-4a8d-8c0d-dd76da1f02a5"/>
    <ds:schemaRef ds:uri="16c05727-aa75-4e4a-9b5f-8a80a116589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TM11907363</Template>
  <Application>Microsoft Excel</Application>
  <DocSecurity>0</DocSecurity>
  <ScaleCrop>false</ScaleCrop>
  <HeadingPairs>
    <vt:vector size="4" baseType="variant">
      <vt:variant>
        <vt:lpstr>Hojas de cálculo</vt:lpstr>
      </vt:variant>
      <vt:variant>
        <vt:i4>21</vt:i4>
      </vt:variant>
      <vt:variant>
        <vt:lpstr>Rangos con nombre</vt:lpstr>
      </vt:variant>
      <vt:variant>
        <vt:i4>29</vt:i4>
      </vt:variant>
    </vt:vector>
  </HeadingPairs>
  <TitlesOfParts>
    <vt:vector size="50" baseType="lpstr">
      <vt:lpstr>Enero</vt:lpstr>
      <vt:lpstr>Febrero</vt:lpstr>
      <vt:lpstr>Marzo</vt:lpstr>
      <vt:lpstr>Abril</vt:lpstr>
      <vt:lpstr>Mayo</vt:lpstr>
      <vt:lpstr>Junio</vt:lpstr>
      <vt:lpstr>Julio</vt:lpstr>
      <vt:lpstr>Agosto</vt:lpstr>
      <vt:lpstr>Septiembre</vt:lpstr>
      <vt:lpstr>Octubre</vt:lpstr>
      <vt:lpstr>Noviembre</vt:lpstr>
      <vt:lpstr>Diciembre</vt:lpstr>
      <vt:lpstr>Enero (2)</vt:lpstr>
      <vt:lpstr>Mayo (2)</vt:lpstr>
      <vt:lpstr>Febrero (2)</vt:lpstr>
      <vt:lpstr>Marzo (2)</vt:lpstr>
      <vt:lpstr>Abril (2)</vt:lpstr>
      <vt:lpstr>Junio (2)</vt:lpstr>
      <vt:lpstr>Septiembre (2)</vt:lpstr>
      <vt:lpstr>Octubre (2)</vt:lpstr>
      <vt:lpstr>Noviembre (2)</vt:lpstr>
      <vt:lpstr>Acalendario</vt:lpstr>
      <vt:lpstr>AñoCalendario</vt:lpstr>
      <vt:lpstr>Enero!Área_de_impresión</vt:lpstr>
      <vt:lpstr>'Enero (2)'!Área_de_impresión</vt:lpstr>
      <vt:lpstr>ColumnTitleRegion1..H12.1</vt:lpstr>
      <vt:lpstr>ColumnTitleRegion1..H12.10</vt:lpstr>
      <vt:lpstr>ColumnTitleRegion1..H12.11</vt:lpstr>
      <vt:lpstr>ColumnTitleRegion1..H12.12</vt:lpstr>
      <vt:lpstr>ColumnTitleRegion1..H12.2</vt:lpstr>
      <vt:lpstr>ColumnTitleRegion1..H12.3</vt:lpstr>
      <vt:lpstr>ColumnTitleRegion1..H12.4</vt:lpstr>
      <vt:lpstr>ColumnTitleRegion1..H12.5</vt:lpstr>
      <vt:lpstr>ColumnTitleRegion1..H12.6</vt:lpstr>
      <vt:lpstr>ColumnTitleRegion1..H12.7</vt:lpstr>
      <vt:lpstr>ColumnTitleRegion1..H12.8</vt:lpstr>
      <vt:lpstr>ColumnTitleRegion1..H12.9</vt:lpstr>
      <vt:lpstr>ColumnTitleRegion2..C14.1</vt:lpstr>
      <vt:lpstr>ColumnTitleRegion2..C14.10</vt:lpstr>
      <vt:lpstr>ColumnTitleRegion2..C14.11</vt:lpstr>
      <vt:lpstr>ColumnTitleRegion2..C14.12</vt:lpstr>
      <vt:lpstr>ColumnTitleRegion2..C14.2</vt:lpstr>
      <vt:lpstr>ColumnTitleRegion2..C14.3</vt:lpstr>
      <vt:lpstr>ColumnTitleRegion2..C14.4</vt:lpstr>
      <vt:lpstr>ColumnTitleRegion2..C14.5</vt:lpstr>
      <vt:lpstr>ColumnTitleRegion2..C14.6</vt:lpstr>
      <vt:lpstr>ColumnTitleRegion2..C14.7</vt:lpstr>
      <vt:lpstr>ColumnTitleRegion2..C14.8</vt:lpstr>
      <vt:lpstr>ColumnTitleRegion2..C14.9</vt:lpstr>
      <vt:lpstr>InicioDeSemana</vt:lpstr>
    </vt:vector>
  </TitlesOfParts>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2020-07-08T21:12:30Z</dcterms:created>
  <dcterms:modified xsi:type="dcterms:W3CDTF">2026-10-07T11:37:21Z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